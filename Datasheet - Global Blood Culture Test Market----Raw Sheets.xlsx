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317CFDA-C412-41A2-94F1-139D495D42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ket Analysis" sheetId="13" r:id="rId1"/>
    <sheet name="North America" sheetId="15" r:id="rId2"/>
    <sheet name="Global-" sheetId="20" r:id="rId3"/>
    <sheet name="Europe" sheetId="16" r:id="rId4"/>
    <sheet name="APAC" sheetId="17" r:id="rId5"/>
    <sheet name="MEA" sheetId="19" r:id="rId6"/>
    <sheet name="Latin America" sheetId="18" r:id="rId7"/>
    <sheet name="Sheet1" sheetId="1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3" l="1"/>
  <c r="D42" i="13"/>
  <c r="E40" i="13"/>
  <c r="D40" i="13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32" i="16"/>
  <c r="D31" i="16"/>
  <c r="D30" i="16"/>
  <c r="D28" i="16"/>
  <c r="D27" i="16"/>
  <c r="D26" i="16"/>
  <c r="D25" i="16"/>
  <c r="D24" i="16"/>
  <c r="D23" i="16"/>
  <c r="D21" i="16"/>
  <c r="D20" i="16"/>
  <c r="D18" i="16"/>
  <c r="D17" i="16"/>
  <c r="D15" i="16"/>
  <c r="D14" i="16"/>
  <c r="D13" i="16"/>
  <c r="D32" i="18"/>
  <c r="D31" i="18"/>
  <c r="D30" i="18"/>
  <c r="D28" i="18"/>
  <c r="D27" i="18"/>
  <c r="D26" i="18"/>
  <c r="D25" i="18"/>
  <c r="D24" i="18"/>
  <c r="D23" i="18"/>
  <c r="D21" i="18"/>
  <c r="D20" i="18"/>
  <c r="D18" i="18"/>
  <c r="D17" i="18"/>
  <c r="D15" i="18"/>
  <c r="D14" i="18"/>
  <c r="D13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E89" i="18"/>
  <c r="D89" i="18"/>
  <c r="E115" i="18"/>
  <c r="D115" i="18"/>
  <c r="AG134" i="19"/>
  <c r="AF134" i="19"/>
  <c r="AE134" i="19"/>
  <c r="AD134" i="19"/>
  <c r="AC134" i="19"/>
  <c r="AB134" i="19"/>
  <c r="AA134" i="19"/>
  <c r="Z134" i="19"/>
  <c r="Y134" i="19"/>
  <c r="X134" i="19"/>
  <c r="W134" i="19"/>
  <c r="V134" i="19"/>
  <c r="U134" i="19"/>
  <c r="T134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AG123" i="19"/>
  <c r="AF123" i="19"/>
  <c r="AE123" i="19"/>
  <c r="AD123" i="19"/>
  <c r="AC123" i="19"/>
  <c r="AB123" i="19"/>
  <c r="AA123" i="19"/>
  <c r="Z123" i="19"/>
  <c r="Y123" i="19"/>
  <c r="X123" i="19"/>
  <c r="W123" i="19"/>
  <c r="V123" i="19"/>
  <c r="U123" i="19"/>
  <c r="T123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AG134" i="18"/>
  <c r="AF134" i="18"/>
  <c r="AE134" i="18"/>
  <c r="AD134" i="18"/>
  <c r="AC134" i="18"/>
  <c r="AB134" i="18"/>
  <c r="AA134" i="18"/>
  <c r="Z134" i="18"/>
  <c r="Y134" i="18"/>
  <c r="X134" i="18"/>
  <c r="W134" i="18"/>
  <c r="V134" i="18"/>
  <c r="U134" i="18"/>
  <c r="T134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AG123" i="18"/>
  <c r="AF123" i="18"/>
  <c r="AE123" i="18"/>
  <c r="AD123" i="18"/>
  <c r="AC123" i="18"/>
  <c r="AB123" i="18"/>
  <c r="AA123" i="18"/>
  <c r="Z123" i="18"/>
  <c r="Y123" i="18"/>
  <c r="X123" i="18"/>
  <c r="W123" i="18"/>
  <c r="V123" i="18"/>
  <c r="U123" i="18"/>
  <c r="T123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AG103" i="18"/>
  <c r="AF103" i="18"/>
  <c r="AE103" i="18"/>
  <c r="AD103" i="18"/>
  <c r="AC103" i="18"/>
  <c r="AB103" i="18"/>
  <c r="AA103" i="18"/>
  <c r="Z103" i="18"/>
  <c r="Y103" i="18"/>
  <c r="X103" i="18"/>
  <c r="W103" i="18"/>
  <c r="V103" i="18"/>
  <c r="U103" i="18"/>
  <c r="T103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AG91" i="18"/>
  <c r="AF91" i="18"/>
  <c r="AE91" i="18"/>
  <c r="AD91" i="18"/>
  <c r="AC91" i="18"/>
  <c r="AB91" i="18"/>
  <c r="AA91" i="18"/>
  <c r="Z91" i="18"/>
  <c r="Y91" i="18"/>
  <c r="X91" i="18"/>
  <c r="W91" i="18"/>
  <c r="V91" i="18"/>
  <c r="U91" i="18"/>
  <c r="T91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AG69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AG66" i="18"/>
  <c r="AF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AG57" i="18"/>
  <c r="AF57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AG159" i="17"/>
  <c r="AF159" i="17"/>
  <c r="AE159" i="17"/>
  <c r="AD159" i="17"/>
  <c r="AC159" i="17"/>
  <c r="AB159" i="17"/>
  <c r="AA159" i="17"/>
  <c r="Z159" i="17"/>
  <c r="Y159" i="17"/>
  <c r="X159" i="17"/>
  <c r="W159" i="17"/>
  <c r="V159" i="17"/>
  <c r="U159" i="17"/>
  <c r="T159" i="17"/>
  <c r="AG155" i="17"/>
  <c r="AF155" i="17"/>
  <c r="AE155" i="17"/>
  <c r="AD155" i="17"/>
  <c r="AC155" i="17"/>
  <c r="AB155" i="17"/>
  <c r="AA155" i="17"/>
  <c r="Z155" i="17"/>
  <c r="Y155" i="17"/>
  <c r="X155" i="17"/>
  <c r="W155" i="17"/>
  <c r="V155" i="17"/>
  <c r="U155" i="17"/>
  <c r="T155" i="17"/>
  <c r="AG154" i="17"/>
  <c r="AF154" i="17"/>
  <c r="AE154" i="17"/>
  <c r="AD154" i="17"/>
  <c r="AC154" i="17"/>
  <c r="AB154" i="17"/>
  <c r="AA154" i="17"/>
  <c r="Z154" i="17"/>
  <c r="Y154" i="17"/>
  <c r="X154" i="17"/>
  <c r="W154" i="17"/>
  <c r="V154" i="17"/>
  <c r="U154" i="17"/>
  <c r="T154" i="17"/>
  <c r="AG148" i="17"/>
  <c r="AF148" i="17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AG145" i="17"/>
  <c r="AF145" i="17"/>
  <c r="AE145" i="17"/>
  <c r="AD145" i="17"/>
  <c r="AC145" i="17"/>
  <c r="AB145" i="17"/>
  <c r="AA145" i="17"/>
  <c r="Z145" i="17"/>
  <c r="Y145" i="17"/>
  <c r="X145" i="17"/>
  <c r="W145" i="17"/>
  <c r="V145" i="17"/>
  <c r="U145" i="17"/>
  <c r="T145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AG134" i="17"/>
  <c r="AF134" i="17"/>
  <c r="AE134" i="17"/>
  <c r="AD134" i="17"/>
  <c r="AC134" i="17"/>
  <c r="AB134" i="17"/>
  <c r="AA134" i="17"/>
  <c r="Z134" i="17"/>
  <c r="Y134" i="17"/>
  <c r="X134" i="17"/>
  <c r="W134" i="17"/>
  <c r="V134" i="17"/>
  <c r="U134" i="17"/>
  <c r="T134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AG123" i="17"/>
  <c r="AF123" i="17"/>
  <c r="AE123" i="17"/>
  <c r="AD123" i="17"/>
  <c r="AC123" i="17"/>
  <c r="AB123" i="17"/>
  <c r="AA123" i="17"/>
  <c r="Z123" i="17"/>
  <c r="Y123" i="17"/>
  <c r="X123" i="17"/>
  <c r="W123" i="17"/>
  <c r="V123" i="17"/>
  <c r="U123" i="17"/>
  <c r="T123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AG103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AG91" i="17"/>
  <c r="AF91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AG57" i="17"/>
  <c r="AF57" i="17"/>
  <c r="AE57" i="17"/>
  <c r="AD57" i="17"/>
  <c r="AC57" i="17"/>
  <c r="AB57" i="17"/>
  <c r="AA57" i="17"/>
  <c r="Z57" i="17"/>
  <c r="Y57" i="17"/>
  <c r="X57" i="17"/>
  <c r="W57" i="17"/>
  <c r="V57" i="17"/>
  <c r="U57" i="17"/>
  <c r="T57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AG239" i="16"/>
  <c r="AF239" i="16"/>
  <c r="AE239" i="16"/>
  <c r="AD239" i="16"/>
  <c r="AC239" i="16"/>
  <c r="AB239" i="16"/>
  <c r="AA239" i="16"/>
  <c r="Z239" i="16"/>
  <c r="Y239" i="16"/>
  <c r="X239" i="16"/>
  <c r="W239" i="16"/>
  <c r="V239" i="16"/>
  <c r="U239" i="16"/>
  <c r="T239" i="16"/>
  <c r="AG235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AG234" i="16"/>
  <c r="AF234" i="16"/>
  <c r="AE234" i="16"/>
  <c r="AD234" i="16"/>
  <c r="AC234" i="16"/>
  <c r="AB234" i="16"/>
  <c r="AA234" i="16"/>
  <c r="Z234" i="16"/>
  <c r="Y234" i="16"/>
  <c r="X234" i="16"/>
  <c r="W234" i="16"/>
  <c r="V234" i="16"/>
  <c r="U234" i="16"/>
  <c r="T234" i="16"/>
  <c r="AG228" i="16"/>
  <c r="AF228" i="16"/>
  <c r="AE228" i="16"/>
  <c r="AD228" i="16"/>
  <c r="AC228" i="16"/>
  <c r="AB228" i="16"/>
  <c r="AA228" i="16"/>
  <c r="Z228" i="16"/>
  <c r="Y228" i="16"/>
  <c r="X228" i="16"/>
  <c r="W228" i="16"/>
  <c r="V228" i="16"/>
  <c r="U228" i="16"/>
  <c r="T228" i="16"/>
  <c r="AG225" i="16"/>
  <c r="AF225" i="16"/>
  <c r="AE225" i="16"/>
  <c r="AD225" i="16"/>
  <c r="AC225" i="16"/>
  <c r="AB225" i="16"/>
  <c r="AA225" i="16"/>
  <c r="Z225" i="16"/>
  <c r="Y225" i="16"/>
  <c r="X225" i="16"/>
  <c r="W225" i="16"/>
  <c r="V225" i="16"/>
  <c r="U225" i="16"/>
  <c r="T225" i="16"/>
  <c r="AG222" i="16"/>
  <c r="AF222" i="16"/>
  <c r="AE222" i="16"/>
  <c r="AD222" i="16"/>
  <c r="AC222" i="16"/>
  <c r="AB222" i="16"/>
  <c r="AA222" i="16"/>
  <c r="Z222" i="16"/>
  <c r="Y222" i="16"/>
  <c r="X222" i="16"/>
  <c r="W222" i="16"/>
  <c r="V222" i="16"/>
  <c r="U222" i="16"/>
  <c r="T222" i="16"/>
  <c r="AG213" i="16"/>
  <c r="AF213" i="16"/>
  <c r="AE213" i="16"/>
  <c r="AD213" i="16"/>
  <c r="AC213" i="16"/>
  <c r="AB213" i="16"/>
  <c r="AA213" i="16"/>
  <c r="Z213" i="16"/>
  <c r="Y213" i="16"/>
  <c r="X213" i="16"/>
  <c r="W213" i="16"/>
  <c r="V213" i="16"/>
  <c r="U213" i="16"/>
  <c r="T213" i="16"/>
  <c r="AG209" i="16"/>
  <c r="AF209" i="16"/>
  <c r="AE209" i="16"/>
  <c r="AD209" i="16"/>
  <c r="AC209" i="16"/>
  <c r="AB209" i="16"/>
  <c r="AA209" i="16"/>
  <c r="Z209" i="16"/>
  <c r="Y209" i="16"/>
  <c r="X209" i="16"/>
  <c r="W209" i="16"/>
  <c r="V209" i="16"/>
  <c r="U209" i="16"/>
  <c r="T209" i="16"/>
  <c r="AG208" i="16"/>
  <c r="AF208" i="16"/>
  <c r="AE208" i="16"/>
  <c r="AD208" i="16"/>
  <c r="AC208" i="16"/>
  <c r="AB208" i="16"/>
  <c r="AA208" i="16"/>
  <c r="Z208" i="16"/>
  <c r="Y208" i="16"/>
  <c r="X208" i="16"/>
  <c r="W208" i="16"/>
  <c r="V208" i="16"/>
  <c r="U208" i="16"/>
  <c r="T208" i="16"/>
  <c r="AG202" i="16"/>
  <c r="AF202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AG199" i="16"/>
  <c r="AF199" i="16"/>
  <c r="AE199" i="16"/>
  <c r="AD199" i="16"/>
  <c r="AC199" i="16"/>
  <c r="AB199" i="16"/>
  <c r="AA199" i="16"/>
  <c r="Z199" i="16"/>
  <c r="Y199" i="16"/>
  <c r="X199" i="16"/>
  <c r="W199" i="16"/>
  <c r="V199" i="16"/>
  <c r="U199" i="16"/>
  <c r="T199" i="16"/>
  <c r="AG196" i="16"/>
  <c r="AF196" i="16"/>
  <c r="AE196" i="16"/>
  <c r="AD196" i="16"/>
  <c r="AC196" i="16"/>
  <c r="AB196" i="16"/>
  <c r="AA196" i="16"/>
  <c r="Z196" i="16"/>
  <c r="Y196" i="16"/>
  <c r="X196" i="16"/>
  <c r="W196" i="16"/>
  <c r="V196" i="16"/>
  <c r="U196" i="16"/>
  <c r="T196" i="16"/>
  <c r="AG187" i="16"/>
  <c r="AF187" i="16"/>
  <c r="AE187" i="16"/>
  <c r="AD187" i="16"/>
  <c r="AC187" i="16"/>
  <c r="AB187" i="16"/>
  <c r="AA187" i="16"/>
  <c r="Z187" i="16"/>
  <c r="Y187" i="16"/>
  <c r="X187" i="16"/>
  <c r="W187" i="16"/>
  <c r="V187" i="16"/>
  <c r="U187" i="16"/>
  <c r="T187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AG182" i="16"/>
  <c r="AF182" i="16"/>
  <c r="AE182" i="16"/>
  <c r="AD182" i="16"/>
  <c r="AC182" i="16"/>
  <c r="AB182" i="16"/>
  <c r="AA182" i="16"/>
  <c r="Z182" i="16"/>
  <c r="Y182" i="16"/>
  <c r="X182" i="16"/>
  <c r="W182" i="16"/>
  <c r="V182" i="16"/>
  <c r="U182" i="16"/>
  <c r="T182" i="16"/>
  <c r="AG176" i="16"/>
  <c r="AF176" i="16"/>
  <c r="AE176" i="16"/>
  <c r="AD176" i="16"/>
  <c r="AC176" i="16"/>
  <c r="AB176" i="16"/>
  <c r="AA176" i="16"/>
  <c r="Z176" i="16"/>
  <c r="Y176" i="16"/>
  <c r="X176" i="16"/>
  <c r="W176" i="16"/>
  <c r="V176" i="16"/>
  <c r="U176" i="16"/>
  <c r="T176" i="16"/>
  <c r="AG173" i="16"/>
  <c r="AF173" i="16"/>
  <c r="AE173" i="16"/>
  <c r="AD173" i="16"/>
  <c r="AC173" i="16"/>
  <c r="AB173" i="16"/>
  <c r="AA173" i="16"/>
  <c r="Z173" i="16"/>
  <c r="Y173" i="16"/>
  <c r="X173" i="16"/>
  <c r="W173" i="16"/>
  <c r="V173" i="16"/>
  <c r="U173" i="16"/>
  <c r="T173" i="16"/>
  <c r="AG170" i="16"/>
  <c r="AF170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AG161" i="16"/>
  <c r="AF161" i="16"/>
  <c r="AE161" i="16"/>
  <c r="AD161" i="16"/>
  <c r="AC161" i="16"/>
  <c r="AB161" i="16"/>
  <c r="AA161" i="16"/>
  <c r="Z161" i="16"/>
  <c r="Y161" i="16"/>
  <c r="X161" i="16"/>
  <c r="W161" i="16"/>
  <c r="V161" i="16"/>
  <c r="U161" i="16"/>
  <c r="T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AG157" i="16"/>
  <c r="AF157" i="16"/>
  <c r="AE157" i="16"/>
  <c r="AD157" i="16"/>
  <c r="AC157" i="16"/>
  <c r="AB157" i="16"/>
  <c r="AA157" i="16"/>
  <c r="Z157" i="16"/>
  <c r="Y157" i="16"/>
  <c r="X157" i="16"/>
  <c r="W157" i="16"/>
  <c r="V157" i="16"/>
  <c r="U157" i="16"/>
  <c r="T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AG156" i="16"/>
  <c r="AF156" i="16"/>
  <c r="AE156" i="16"/>
  <c r="AD156" i="16"/>
  <c r="AC156" i="16"/>
  <c r="AB156" i="16"/>
  <c r="AA156" i="16"/>
  <c r="Z156" i="16"/>
  <c r="Y156" i="16"/>
  <c r="X156" i="16"/>
  <c r="W156" i="16"/>
  <c r="V156" i="16"/>
  <c r="U156" i="16"/>
  <c r="T156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AG150" i="16"/>
  <c r="AF150" i="16"/>
  <c r="AE150" i="16"/>
  <c r="AD150" i="16"/>
  <c r="AC150" i="16"/>
  <c r="AB150" i="16"/>
  <c r="AA150" i="16"/>
  <c r="Z150" i="16"/>
  <c r="Y150" i="16"/>
  <c r="X150" i="16"/>
  <c r="W150" i="16"/>
  <c r="V150" i="16"/>
  <c r="U150" i="16"/>
  <c r="T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AG147" i="16"/>
  <c r="AF147" i="16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O144" i="16"/>
  <c r="N144" i="16"/>
  <c r="M144" i="16"/>
  <c r="L144" i="16"/>
  <c r="K144" i="16"/>
  <c r="J144" i="16"/>
  <c r="I144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T135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AG124" i="16"/>
  <c r="AF124" i="16"/>
  <c r="AE124" i="16"/>
  <c r="AD124" i="16"/>
  <c r="AC124" i="16"/>
  <c r="AB124" i="16"/>
  <c r="AA124" i="16"/>
  <c r="Z124" i="16"/>
  <c r="Y124" i="16"/>
  <c r="X124" i="16"/>
  <c r="W124" i="16"/>
  <c r="V124" i="16"/>
  <c r="U124" i="16"/>
  <c r="T124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T92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AG69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AG66" i="16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T28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F36" i="13"/>
  <c r="F38" i="13"/>
  <c r="E38" i="13"/>
  <c r="E36" i="13"/>
  <c r="Q32" i="13"/>
  <c r="Q30" i="13"/>
  <c r="Q28" i="13"/>
  <c r="Q26" i="13"/>
  <c r="Q24" i="13"/>
  <c r="Q22" i="13"/>
  <c r="Q20" i="13"/>
  <c r="Q18" i="13"/>
  <c r="Q16" i="13"/>
  <c r="D38" i="13"/>
  <c r="D3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E30" i="13"/>
  <c r="E28" i="13"/>
  <c r="E26" i="13"/>
  <c r="E24" i="13"/>
  <c r="E22" i="13"/>
  <c r="E20" i="13"/>
  <c r="D30" i="13"/>
  <c r="D28" i="13"/>
  <c r="D26" i="13"/>
  <c r="D24" i="13"/>
  <c r="D22" i="13"/>
  <c r="D20" i="13"/>
  <c r="E18" i="13"/>
  <c r="D18" i="13"/>
  <c r="C42" i="13"/>
  <c r="C40" i="13"/>
  <c r="C38" i="13"/>
  <c r="C36" i="13"/>
  <c r="C32" i="13"/>
  <c r="C30" i="13"/>
  <c r="C28" i="13"/>
  <c r="C26" i="13"/>
  <c r="C34" i="13"/>
  <c r="C16" i="13"/>
  <c r="B65" i="13"/>
  <c r="B64" i="13"/>
  <c r="B54" i="13"/>
  <c r="B43" i="13"/>
  <c r="B42" i="13"/>
  <c r="B33" i="13"/>
  <c r="B32" i="13"/>
  <c r="B14" i="13"/>
  <c r="B44" i="13"/>
  <c r="B34" i="13"/>
  <c r="B16" i="13"/>
  <c r="B10" i="13"/>
  <c r="B6" i="13"/>
  <c r="D9" i="13"/>
  <c r="C44" i="13" l="1"/>
  <c r="B56" i="13"/>
  <c r="C56" i="13" s="1"/>
  <c r="C64" i="13"/>
  <c r="C62" i="13"/>
  <c r="C60" i="13"/>
  <c r="C58" i="13"/>
  <c r="C10" i="13"/>
  <c r="B7" i="13"/>
  <c r="F42" i="13"/>
  <c r="G42" i="13" s="1"/>
  <c r="H42" i="13" s="1"/>
  <c r="I42" i="13" s="1"/>
  <c r="J42" i="13" s="1"/>
  <c r="K42" i="13" s="1"/>
  <c r="L42" i="13" s="1"/>
  <c r="M42" i="13" s="1"/>
  <c r="D34" i="13"/>
  <c r="F40" i="13"/>
  <c r="G40" i="13" s="1"/>
  <c r="H40" i="13" s="1"/>
  <c r="I40" i="13" s="1"/>
  <c r="J40" i="13" s="1"/>
  <c r="K40" i="13" s="1"/>
  <c r="L40" i="13" s="1"/>
  <c r="M40" i="13" s="1"/>
  <c r="N40" i="13" s="1"/>
  <c r="O40" i="13" s="1"/>
  <c r="P40" i="13" s="1"/>
  <c r="E13" i="18"/>
  <c r="Q83" i="18"/>
  <c r="O83" i="18"/>
  <c r="N83" i="18"/>
  <c r="M83" i="18"/>
  <c r="L83" i="18"/>
  <c r="K83" i="18"/>
  <c r="J83" i="18"/>
  <c r="I83" i="18"/>
  <c r="H83" i="18"/>
  <c r="G83" i="18"/>
  <c r="E83" i="18"/>
  <c r="Q82" i="18"/>
  <c r="P82" i="18"/>
  <c r="O82" i="18"/>
  <c r="N82" i="18"/>
  <c r="M82" i="18"/>
  <c r="K82" i="18"/>
  <c r="H82" i="18"/>
  <c r="F82" i="18"/>
  <c r="D82" i="18"/>
  <c r="N81" i="18"/>
  <c r="L81" i="18"/>
  <c r="J81" i="18"/>
  <c r="H81" i="18"/>
  <c r="F81" i="18"/>
  <c r="D81" i="18"/>
  <c r="O79" i="18"/>
  <c r="M79" i="18"/>
  <c r="K79" i="18"/>
  <c r="J79" i="18"/>
  <c r="H79" i="18"/>
  <c r="F79" i="18"/>
  <c r="Q75" i="18"/>
  <c r="O75" i="18"/>
  <c r="M75" i="18"/>
  <c r="K75" i="18"/>
  <c r="J75" i="18"/>
  <c r="H75" i="18"/>
  <c r="F75" i="18"/>
  <c r="D75" i="18"/>
  <c r="P74" i="18"/>
  <c r="N74" i="18"/>
  <c r="K74" i="18"/>
  <c r="I74" i="18"/>
  <c r="G74" i="18"/>
  <c r="E74" i="18"/>
  <c r="P72" i="18"/>
  <c r="O72" i="18"/>
  <c r="M72" i="18"/>
  <c r="K72" i="18"/>
  <c r="I72" i="18"/>
  <c r="H72" i="18"/>
  <c r="F72" i="18"/>
  <c r="D72" i="18"/>
  <c r="P71" i="18"/>
  <c r="N71" i="18"/>
  <c r="L71" i="18"/>
  <c r="J71" i="18"/>
  <c r="H71" i="18"/>
  <c r="F71" i="18"/>
  <c r="D71" i="18"/>
  <c r="P69" i="18"/>
  <c r="N69" i="18"/>
  <c r="P83" i="18"/>
  <c r="F83" i="18"/>
  <c r="D83" i="18"/>
  <c r="L82" i="18"/>
  <c r="J82" i="18"/>
  <c r="I82" i="18"/>
  <c r="G82" i="18"/>
  <c r="E82" i="18"/>
  <c r="Q81" i="18"/>
  <c r="P81" i="18"/>
  <c r="O81" i="18"/>
  <c r="M81" i="18"/>
  <c r="K81" i="18"/>
  <c r="I81" i="18"/>
  <c r="G81" i="18"/>
  <c r="E81" i="18"/>
  <c r="Q79" i="18"/>
  <c r="P79" i="18"/>
  <c r="N79" i="18"/>
  <c r="L79" i="18"/>
  <c r="I79" i="18"/>
  <c r="G79" i="18"/>
  <c r="E79" i="18"/>
  <c r="D79" i="18"/>
  <c r="P75" i="18"/>
  <c r="N75" i="18"/>
  <c r="L75" i="18"/>
  <c r="I75" i="18"/>
  <c r="G75" i="18"/>
  <c r="E75" i="18"/>
  <c r="Q74" i="18"/>
  <c r="O74" i="18"/>
  <c r="M74" i="18"/>
  <c r="L74" i="18"/>
  <c r="J74" i="18"/>
  <c r="H74" i="18"/>
  <c r="F74" i="18"/>
  <c r="D74" i="18"/>
  <c r="Q72" i="18"/>
  <c r="N72" i="18"/>
  <c r="L72" i="18"/>
  <c r="J72" i="18"/>
  <c r="G72" i="18"/>
  <c r="E72" i="18"/>
  <c r="Q71" i="18"/>
  <c r="O71" i="18"/>
  <c r="M71" i="18"/>
  <c r="K71" i="18"/>
  <c r="I71" i="18"/>
  <c r="G71" i="18"/>
  <c r="E71" i="18"/>
  <c r="Q69" i="18"/>
  <c r="O69" i="18"/>
  <c r="E134" i="18"/>
  <c r="E133" i="18"/>
  <c r="D132" i="18"/>
  <c r="E130" i="18"/>
  <c r="E126" i="18"/>
  <c r="D126" i="18"/>
  <c r="E125" i="18"/>
  <c r="D125" i="18"/>
  <c r="E123" i="18"/>
  <c r="D123" i="18"/>
  <c r="E122" i="18"/>
  <c r="D122" i="18"/>
  <c r="E120" i="18"/>
  <c r="D120" i="18"/>
  <c r="E119" i="18"/>
  <c r="D119" i="18"/>
  <c r="E117" i="18"/>
  <c r="D117" i="18"/>
  <c r="E116" i="18"/>
  <c r="D116" i="18"/>
  <c r="E108" i="18"/>
  <c r="D108" i="18"/>
  <c r="E107" i="18"/>
  <c r="D107" i="18"/>
  <c r="E106" i="18"/>
  <c r="D106" i="18"/>
  <c r="E104" i="18"/>
  <c r="D104" i="18"/>
  <c r="E100" i="18"/>
  <c r="D100" i="18"/>
  <c r="E99" i="18"/>
  <c r="D99" i="18"/>
  <c r="E97" i="18"/>
  <c r="D97" i="18"/>
  <c r="E96" i="18"/>
  <c r="D96" i="18"/>
  <c r="E94" i="18"/>
  <c r="D94" i="18"/>
  <c r="E93" i="18"/>
  <c r="E91" i="18"/>
  <c r="D90" i="18"/>
  <c r="M69" i="18"/>
  <c r="L69" i="18"/>
  <c r="K69" i="18"/>
  <c r="J69" i="18"/>
  <c r="I69" i="18"/>
  <c r="H69" i="18"/>
  <c r="G69" i="18"/>
  <c r="F69" i="18"/>
  <c r="E69" i="18"/>
  <c r="R69" i="18" s="1"/>
  <c r="D69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R68" i="18" s="1"/>
  <c r="D68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R66" i="18" s="1"/>
  <c r="D66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R65" i="18" s="1"/>
  <c r="D65" i="18"/>
  <c r="R64" i="18"/>
  <c r="Q57" i="18"/>
  <c r="Q32" i="18" s="1"/>
  <c r="P57" i="18"/>
  <c r="P32" i="18" s="1"/>
  <c r="O57" i="18"/>
  <c r="O32" i="18" s="1"/>
  <c r="N57" i="18"/>
  <c r="N32" i="18" s="1"/>
  <c r="M57" i="18"/>
  <c r="M32" i="18" s="1"/>
  <c r="L57" i="18"/>
  <c r="L32" i="18" s="1"/>
  <c r="K57" i="18"/>
  <c r="K32" i="18" s="1"/>
  <c r="J57" i="18"/>
  <c r="J32" i="18" s="1"/>
  <c r="I57" i="18"/>
  <c r="I32" i="18" s="1"/>
  <c r="H57" i="18"/>
  <c r="H32" i="18" s="1"/>
  <c r="G57" i="18"/>
  <c r="G32" i="18" s="1"/>
  <c r="F57" i="18"/>
  <c r="F32" i="18" s="1"/>
  <c r="E57" i="18"/>
  <c r="D57" i="18"/>
  <c r="Q56" i="18"/>
  <c r="Q31" i="18" s="1"/>
  <c r="P56" i="18"/>
  <c r="P31" i="18" s="1"/>
  <c r="O56" i="18"/>
  <c r="O31" i="18" s="1"/>
  <c r="N56" i="18"/>
  <c r="N31" i="18" s="1"/>
  <c r="M56" i="18"/>
  <c r="M31" i="18" s="1"/>
  <c r="L56" i="18"/>
  <c r="L31" i="18" s="1"/>
  <c r="K56" i="18"/>
  <c r="K31" i="18" s="1"/>
  <c r="J56" i="18"/>
  <c r="J31" i="18" s="1"/>
  <c r="I56" i="18"/>
  <c r="I31" i="18" s="1"/>
  <c r="H56" i="18"/>
  <c r="H31" i="18" s="1"/>
  <c r="G56" i="18"/>
  <c r="G31" i="18" s="1"/>
  <c r="F56" i="18"/>
  <c r="F31" i="18" s="1"/>
  <c r="E56" i="18"/>
  <c r="D56" i="18"/>
  <c r="Q55" i="18"/>
  <c r="Q30" i="18" s="1"/>
  <c r="P55" i="18"/>
  <c r="P30" i="18" s="1"/>
  <c r="O55" i="18"/>
  <c r="O30" i="18" s="1"/>
  <c r="N55" i="18"/>
  <c r="N30" i="18" s="1"/>
  <c r="M55" i="18"/>
  <c r="M30" i="18" s="1"/>
  <c r="L55" i="18"/>
  <c r="L30" i="18" s="1"/>
  <c r="K55" i="18"/>
  <c r="K30" i="18" s="1"/>
  <c r="J55" i="18"/>
  <c r="J30" i="18" s="1"/>
  <c r="I55" i="18"/>
  <c r="I30" i="18" s="1"/>
  <c r="H55" i="18"/>
  <c r="H30" i="18" s="1"/>
  <c r="G55" i="18"/>
  <c r="G30" i="18" s="1"/>
  <c r="F55" i="18"/>
  <c r="F30" i="18" s="1"/>
  <c r="E55" i="18"/>
  <c r="D55" i="18"/>
  <c r="Q53" i="18"/>
  <c r="Q28" i="18" s="1"/>
  <c r="P53" i="18"/>
  <c r="P28" i="18" s="1"/>
  <c r="O53" i="18"/>
  <c r="O28" i="18" s="1"/>
  <c r="N53" i="18"/>
  <c r="N28" i="18" s="1"/>
  <c r="M53" i="18"/>
  <c r="M28" i="18" s="1"/>
  <c r="L53" i="18"/>
  <c r="L28" i="18" s="1"/>
  <c r="K53" i="18"/>
  <c r="K28" i="18" s="1"/>
  <c r="J53" i="18"/>
  <c r="J28" i="18" s="1"/>
  <c r="I53" i="18"/>
  <c r="I28" i="18" s="1"/>
  <c r="H53" i="18"/>
  <c r="H28" i="18" s="1"/>
  <c r="G53" i="18"/>
  <c r="G28" i="18" s="1"/>
  <c r="F53" i="18"/>
  <c r="F28" i="18" s="1"/>
  <c r="E53" i="18"/>
  <c r="D53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Q48" i="18"/>
  <c r="Q23" i="18" s="1"/>
  <c r="P48" i="18"/>
  <c r="P23" i="18" s="1"/>
  <c r="O48" i="18"/>
  <c r="O23" i="18" s="1"/>
  <c r="N48" i="18"/>
  <c r="N23" i="18" s="1"/>
  <c r="M48" i="18"/>
  <c r="M23" i="18" s="1"/>
  <c r="L48" i="18"/>
  <c r="L23" i="18" s="1"/>
  <c r="K48" i="18"/>
  <c r="K23" i="18" s="1"/>
  <c r="J48" i="18"/>
  <c r="J23" i="18" s="1"/>
  <c r="I48" i="18"/>
  <c r="I23" i="18" s="1"/>
  <c r="H48" i="18"/>
  <c r="H23" i="18" s="1"/>
  <c r="G48" i="18"/>
  <c r="G23" i="18" s="1"/>
  <c r="F48" i="18"/>
  <c r="F23" i="18" s="1"/>
  <c r="E48" i="18"/>
  <c r="D48" i="18"/>
  <c r="Q46" i="18"/>
  <c r="Q21" i="18" s="1"/>
  <c r="P46" i="18"/>
  <c r="P21" i="18" s="1"/>
  <c r="O46" i="18"/>
  <c r="O21" i="18" s="1"/>
  <c r="N46" i="18"/>
  <c r="N21" i="18" s="1"/>
  <c r="M46" i="18"/>
  <c r="M21" i="18" s="1"/>
  <c r="L46" i="18"/>
  <c r="L21" i="18" s="1"/>
  <c r="K46" i="18"/>
  <c r="K21" i="18" s="1"/>
  <c r="J46" i="18"/>
  <c r="J21" i="18" s="1"/>
  <c r="I46" i="18"/>
  <c r="I21" i="18" s="1"/>
  <c r="H46" i="18"/>
  <c r="H21" i="18" s="1"/>
  <c r="G46" i="18"/>
  <c r="G21" i="18" s="1"/>
  <c r="F46" i="18"/>
  <c r="F21" i="18" s="1"/>
  <c r="E46" i="18"/>
  <c r="D46" i="18"/>
  <c r="Q45" i="18"/>
  <c r="Q20" i="18" s="1"/>
  <c r="P45" i="18"/>
  <c r="P20" i="18" s="1"/>
  <c r="O45" i="18"/>
  <c r="O20" i="18" s="1"/>
  <c r="N45" i="18"/>
  <c r="N20" i="18" s="1"/>
  <c r="M45" i="18"/>
  <c r="M20" i="18" s="1"/>
  <c r="L45" i="18"/>
  <c r="L20" i="18" s="1"/>
  <c r="K45" i="18"/>
  <c r="K20" i="18" s="1"/>
  <c r="J45" i="18"/>
  <c r="J20" i="18" s="1"/>
  <c r="I45" i="18"/>
  <c r="I20" i="18" s="1"/>
  <c r="H45" i="18"/>
  <c r="H20" i="18" s="1"/>
  <c r="G45" i="18"/>
  <c r="G20" i="18" s="1"/>
  <c r="F45" i="18"/>
  <c r="F20" i="18" s="1"/>
  <c r="E45" i="18"/>
  <c r="D45" i="18"/>
  <c r="Q43" i="18"/>
  <c r="Q18" i="18" s="1"/>
  <c r="P43" i="18"/>
  <c r="P18" i="18" s="1"/>
  <c r="O43" i="18"/>
  <c r="O18" i="18" s="1"/>
  <c r="N43" i="18"/>
  <c r="N18" i="18" s="1"/>
  <c r="M43" i="18"/>
  <c r="M18" i="18" s="1"/>
  <c r="L43" i="18"/>
  <c r="L18" i="18" s="1"/>
  <c r="K43" i="18"/>
  <c r="K18" i="18" s="1"/>
  <c r="J43" i="18"/>
  <c r="J18" i="18" s="1"/>
  <c r="I43" i="18"/>
  <c r="I18" i="18" s="1"/>
  <c r="H43" i="18"/>
  <c r="H18" i="18" s="1"/>
  <c r="G43" i="18"/>
  <c r="G18" i="18" s="1"/>
  <c r="F43" i="18"/>
  <c r="F18" i="18" s="1"/>
  <c r="E43" i="18"/>
  <c r="D43" i="18"/>
  <c r="Q42" i="18"/>
  <c r="Q17" i="18" s="1"/>
  <c r="P42" i="18"/>
  <c r="P17" i="18" s="1"/>
  <c r="O42" i="18"/>
  <c r="O17" i="18" s="1"/>
  <c r="N42" i="18"/>
  <c r="N17" i="18" s="1"/>
  <c r="M42" i="18"/>
  <c r="M17" i="18" s="1"/>
  <c r="L42" i="18"/>
  <c r="L17" i="18" s="1"/>
  <c r="K42" i="18"/>
  <c r="K17" i="18" s="1"/>
  <c r="J42" i="18"/>
  <c r="J17" i="18" s="1"/>
  <c r="I42" i="18"/>
  <c r="I17" i="18" s="1"/>
  <c r="H42" i="18"/>
  <c r="H17" i="18" s="1"/>
  <c r="G42" i="18"/>
  <c r="G17" i="18" s="1"/>
  <c r="F42" i="18"/>
  <c r="F17" i="18" s="1"/>
  <c r="E42" i="18"/>
  <c r="D42" i="18"/>
  <c r="Q40" i="18"/>
  <c r="Q15" i="18" s="1"/>
  <c r="P40" i="18"/>
  <c r="P15" i="18" s="1"/>
  <c r="O40" i="18"/>
  <c r="O15" i="18" s="1"/>
  <c r="N40" i="18"/>
  <c r="N15" i="18" s="1"/>
  <c r="M40" i="18"/>
  <c r="M15" i="18" s="1"/>
  <c r="L40" i="18"/>
  <c r="L15" i="18" s="1"/>
  <c r="K40" i="18"/>
  <c r="K15" i="18" s="1"/>
  <c r="J40" i="18"/>
  <c r="J15" i="18" s="1"/>
  <c r="I40" i="18"/>
  <c r="I15" i="18" s="1"/>
  <c r="H40" i="18"/>
  <c r="H15" i="18" s="1"/>
  <c r="G40" i="18"/>
  <c r="G15" i="18" s="1"/>
  <c r="F40" i="18"/>
  <c r="F15" i="18" s="1"/>
  <c r="E40" i="18"/>
  <c r="D40" i="18"/>
  <c r="Q39" i="18"/>
  <c r="Q14" i="18" s="1"/>
  <c r="P39" i="18"/>
  <c r="P14" i="18" s="1"/>
  <c r="O39" i="18"/>
  <c r="O14" i="18" s="1"/>
  <c r="N39" i="18"/>
  <c r="N14" i="18" s="1"/>
  <c r="M39" i="18"/>
  <c r="M14" i="18" s="1"/>
  <c r="L39" i="18"/>
  <c r="L14" i="18" s="1"/>
  <c r="K39" i="18"/>
  <c r="K14" i="18" s="1"/>
  <c r="J39" i="18"/>
  <c r="J14" i="18" s="1"/>
  <c r="I39" i="18"/>
  <c r="I14" i="18" s="1"/>
  <c r="H39" i="18"/>
  <c r="H14" i="18" s="1"/>
  <c r="G39" i="18"/>
  <c r="G14" i="18" s="1"/>
  <c r="F39" i="18"/>
  <c r="F14" i="18" s="1"/>
  <c r="E39" i="18"/>
  <c r="D39" i="18"/>
  <c r="R38" i="18"/>
  <c r="D134" i="18"/>
  <c r="D133" i="18"/>
  <c r="E132" i="18"/>
  <c r="D130" i="18"/>
  <c r="D93" i="18"/>
  <c r="D91" i="18"/>
  <c r="E90" i="18"/>
  <c r="R83" i="18"/>
  <c r="R81" i="18"/>
  <c r="Q78" i="18"/>
  <c r="O78" i="18"/>
  <c r="M78" i="18"/>
  <c r="K78" i="18"/>
  <c r="I78" i="18"/>
  <c r="G78" i="18"/>
  <c r="E78" i="18"/>
  <c r="R78" i="18" s="1"/>
  <c r="P77" i="18"/>
  <c r="N77" i="18"/>
  <c r="L77" i="18"/>
  <c r="J77" i="18"/>
  <c r="H77" i="18"/>
  <c r="F77" i="18"/>
  <c r="D77" i="18"/>
  <c r="Q76" i="18"/>
  <c r="O76" i="18"/>
  <c r="M76" i="18"/>
  <c r="K76" i="18"/>
  <c r="I76" i="18"/>
  <c r="G76" i="18"/>
  <c r="E76" i="18"/>
  <c r="R76" i="18" s="1"/>
  <c r="R75" i="18"/>
  <c r="R72" i="18"/>
  <c r="R71" i="18"/>
  <c r="Q144" i="16"/>
  <c r="P144" i="16"/>
  <c r="D161" i="16"/>
  <c r="Q239" i="16"/>
  <c r="O239" i="16"/>
  <c r="K239" i="16"/>
  <c r="I239" i="16"/>
  <c r="F239" i="16"/>
  <c r="D239" i="16"/>
  <c r="N238" i="16"/>
  <c r="K238" i="16"/>
  <c r="H238" i="16"/>
  <c r="G238" i="16"/>
  <c r="D238" i="16"/>
  <c r="P237" i="16"/>
  <c r="M237" i="16"/>
  <c r="I237" i="16"/>
  <c r="F237" i="16"/>
  <c r="D237" i="16"/>
  <c r="O235" i="16"/>
  <c r="M235" i="16"/>
  <c r="J235" i="16"/>
  <c r="G235" i="16"/>
  <c r="Q231" i="16"/>
  <c r="N231" i="16"/>
  <c r="K231" i="16"/>
  <c r="H231" i="16"/>
  <c r="E231" i="16"/>
  <c r="P230" i="16"/>
  <c r="M230" i="16"/>
  <c r="J230" i="16"/>
  <c r="G230" i="16"/>
  <c r="D230" i="16"/>
  <c r="O228" i="16"/>
  <c r="M228" i="16"/>
  <c r="J228" i="16"/>
  <c r="G228" i="16"/>
  <c r="D228" i="16"/>
  <c r="P227" i="16"/>
  <c r="M227" i="16"/>
  <c r="K227" i="16"/>
  <c r="H227" i="16"/>
  <c r="F227" i="16"/>
  <c r="D227" i="16"/>
  <c r="M225" i="16"/>
  <c r="K225" i="16"/>
  <c r="I225" i="16"/>
  <c r="G225" i="16"/>
  <c r="E225" i="16"/>
  <c r="P224" i="16"/>
  <c r="O224" i="16"/>
  <c r="L224" i="16"/>
  <c r="I224" i="16"/>
  <c r="H224" i="16"/>
  <c r="E224" i="16"/>
  <c r="O222" i="16"/>
  <c r="M222" i="16"/>
  <c r="I222" i="16"/>
  <c r="F222" i="16"/>
  <c r="P221" i="16"/>
  <c r="M221" i="16"/>
  <c r="J221" i="16"/>
  <c r="G221" i="16"/>
  <c r="D221" i="16"/>
  <c r="O213" i="16"/>
  <c r="N213" i="16"/>
  <c r="I213" i="16"/>
  <c r="P211" i="16"/>
  <c r="O211" i="16"/>
  <c r="N211" i="16"/>
  <c r="L211" i="16"/>
  <c r="J211" i="16"/>
  <c r="H211" i="16"/>
  <c r="F211" i="16"/>
  <c r="D211" i="16"/>
  <c r="K209" i="16"/>
  <c r="H209" i="16"/>
  <c r="E209" i="16"/>
  <c r="Q205" i="16"/>
  <c r="O205" i="16"/>
  <c r="L205" i="16"/>
  <c r="J205" i="16"/>
  <c r="H205" i="16"/>
  <c r="E205" i="16"/>
  <c r="N204" i="16"/>
  <c r="M204" i="16"/>
  <c r="J204" i="16"/>
  <c r="F204" i="16"/>
  <c r="D204" i="16"/>
  <c r="Q202" i="16"/>
  <c r="P202" i="16"/>
  <c r="O202" i="16"/>
  <c r="M202" i="16"/>
  <c r="J202" i="16"/>
  <c r="G202" i="16"/>
  <c r="O201" i="16"/>
  <c r="M201" i="16"/>
  <c r="J201" i="16"/>
  <c r="G201" i="16"/>
  <c r="Q199" i="16"/>
  <c r="N199" i="16"/>
  <c r="L199" i="16"/>
  <c r="G199" i="16"/>
  <c r="E199" i="16"/>
  <c r="R199" i="16" s="1"/>
  <c r="Q198" i="16"/>
  <c r="O198" i="16"/>
  <c r="L198" i="16"/>
  <c r="J198" i="16"/>
  <c r="H198" i="16"/>
  <c r="F198" i="16"/>
  <c r="Q196" i="16"/>
  <c r="P196" i="16"/>
  <c r="M196" i="16"/>
  <c r="K196" i="16"/>
  <c r="I196" i="16"/>
  <c r="G196" i="16"/>
  <c r="D196" i="16"/>
  <c r="P195" i="16"/>
  <c r="M195" i="16"/>
  <c r="K195" i="16"/>
  <c r="I195" i="16"/>
  <c r="F195" i="16"/>
  <c r="R194" i="16"/>
  <c r="P239" i="16"/>
  <c r="N239" i="16"/>
  <c r="L239" i="16"/>
  <c r="J239" i="16"/>
  <c r="G239" i="16"/>
  <c r="O238" i="16"/>
  <c r="L238" i="16"/>
  <c r="I238" i="16"/>
  <c r="E238" i="16"/>
  <c r="O237" i="16"/>
  <c r="L237" i="16"/>
  <c r="J237" i="16"/>
  <c r="G237" i="16"/>
  <c r="L235" i="16"/>
  <c r="I235" i="16"/>
  <c r="F235" i="16"/>
  <c r="D235" i="16"/>
  <c r="P231" i="16"/>
  <c r="M231" i="16"/>
  <c r="L231" i="16"/>
  <c r="I231" i="16"/>
  <c r="F231" i="16"/>
  <c r="Q230" i="16"/>
  <c r="N230" i="16"/>
  <c r="L230" i="16"/>
  <c r="I230" i="16"/>
  <c r="F230" i="16"/>
  <c r="P228" i="16"/>
  <c r="L228" i="16"/>
  <c r="I228" i="16"/>
  <c r="F228" i="16"/>
  <c r="O227" i="16"/>
  <c r="L227" i="16"/>
  <c r="J227" i="16"/>
  <c r="G227" i="16"/>
  <c r="P225" i="16"/>
  <c r="N225" i="16"/>
  <c r="L225" i="16"/>
  <c r="J225" i="16"/>
  <c r="D225" i="16"/>
  <c r="Q224" i="16"/>
  <c r="M224" i="16"/>
  <c r="J224" i="16"/>
  <c r="F224" i="16"/>
  <c r="D224" i="16"/>
  <c r="P222" i="16"/>
  <c r="L222" i="16"/>
  <c r="J222" i="16"/>
  <c r="G222" i="16"/>
  <c r="D222" i="16"/>
  <c r="N221" i="16"/>
  <c r="L221" i="16"/>
  <c r="H221" i="16"/>
  <c r="E221" i="16"/>
  <c r="Q213" i="16"/>
  <c r="M213" i="16"/>
  <c r="J213" i="16"/>
  <c r="G213" i="16"/>
  <c r="E213" i="16"/>
  <c r="R213" i="16" s="1"/>
  <c r="D213" i="16"/>
  <c r="Q212" i="16"/>
  <c r="P212" i="16"/>
  <c r="O212" i="16"/>
  <c r="M212" i="16"/>
  <c r="J212" i="16"/>
  <c r="H212" i="16"/>
  <c r="M211" i="16"/>
  <c r="K211" i="16"/>
  <c r="I211" i="16"/>
  <c r="G211" i="16"/>
  <c r="E211" i="16"/>
  <c r="P209" i="16"/>
  <c r="N209" i="16"/>
  <c r="L209" i="16"/>
  <c r="J209" i="16"/>
  <c r="G209" i="16"/>
  <c r="M205" i="16"/>
  <c r="I205" i="16"/>
  <c r="F205" i="16"/>
  <c r="Q204" i="16"/>
  <c r="O204" i="16"/>
  <c r="L204" i="16"/>
  <c r="I204" i="16"/>
  <c r="G204" i="16"/>
  <c r="L202" i="16"/>
  <c r="I202" i="16"/>
  <c r="F202" i="16"/>
  <c r="E202" i="16"/>
  <c r="R202" i="16" s="1"/>
  <c r="P201" i="16"/>
  <c r="L201" i="16"/>
  <c r="I201" i="16"/>
  <c r="F201" i="16"/>
  <c r="D201" i="16"/>
  <c r="P199" i="16"/>
  <c r="M199" i="16"/>
  <c r="J199" i="16"/>
  <c r="H199" i="16"/>
  <c r="F199" i="16"/>
  <c r="N198" i="16"/>
  <c r="K198" i="16"/>
  <c r="G198" i="16"/>
  <c r="E198" i="16"/>
  <c r="R198" i="16" s="1"/>
  <c r="N196" i="16"/>
  <c r="J196" i="16"/>
  <c r="H196" i="16"/>
  <c r="E196" i="16"/>
  <c r="R196" i="16" s="1"/>
  <c r="Q195" i="16"/>
  <c r="N195" i="16"/>
  <c r="J195" i="16"/>
  <c r="H195" i="16"/>
  <c r="E195" i="16"/>
  <c r="R195" i="16" s="1"/>
  <c r="D195" i="16"/>
  <c r="M239" i="16"/>
  <c r="H239" i="16"/>
  <c r="E239" i="16"/>
  <c r="R239" i="16" s="1"/>
  <c r="Q238" i="16"/>
  <c r="P238" i="16"/>
  <c r="M238" i="16"/>
  <c r="J238" i="16"/>
  <c r="F238" i="16"/>
  <c r="Q237" i="16"/>
  <c r="N237" i="16"/>
  <c r="K237" i="16"/>
  <c r="H237" i="16"/>
  <c r="E237" i="16"/>
  <c r="R237" i="16" s="1"/>
  <c r="Q235" i="16"/>
  <c r="P235" i="16"/>
  <c r="N235" i="16"/>
  <c r="K235" i="16"/>
  <c r="H235" i="16"/>
  <c r="E235" i="16"/>
  <c r="R235" i="16" s="1"/>
  <c r="O231" i="16"/>
  <c r="J231" i="16"/>
  <c r="G231" i="16"/>
  <c r="D231" i="16"/>
  <c r="O230" i="16"/>
  <c r="K230" i="16"/>
  <c r="H230" i="16"/>
  <c r="E230" i="16"/>
  <c r="R230" i="16" s="1"/>
  <c r="Q228" i="16"/>
  <c r="N228" i="16"/>
  <c r="K228" i="16"/>
  <c r="H228" i="16"/>
  <c r="E228" i="16"/>
  <c r="R228" i="16" s="1"/>
  <c r="Q227" i="16"/>
  <c r="N227" i="16"/>
  <c r="I227" i="16"/>
  <c r="E227" i="16"/>
  <c r="R227" i="16" s="1"/>
  <c r="Q225" i="16"/>
  <c r="O225" i="16"/>
  <c r="H225" i="16"/>
  <c r="F225" i="16"/>
  <c r="N224" i="16"/>
  <c r="K224" i="16"/>
  <c r="G224" i="16"/>
  <c r="Q222" i="16"/>
  <c r="N222" i="16"/>
  <c r="K222" i="16"/>
  <c r="H222" i="16"/>
  <c r="E222" i="16"/>
  <c r="R222" i="16" s="1"/>
  <c r="Q221" i="16"/>
  <c r="O221" i="16"/>
  <c r="K221" i="16"/>
  <c r="I221" i="16"/>
  <c r="F221" i="16"/>
  <c r="R220" i="16"/>
  <c r="P213" i="16"/>
  <c r="L213" i="16"/>
  <c r="K213" i="16"/>
  <c r="H213" i="16"/>
  <c r="F213" i="16"/>
  <c r="N212" i="16"/>
  <c r="L212" i="16"/>
  <c r="K212" i="16"/>
  <c r="I212" i="16"/>
  <c r="G212" i="16"/>
  <c r="F212" i="16"/>
  <c r="E212" i="16"/>
  <c r="R212" i="16" s="1"/>
  <c r="D212" i="16"/>
  <c r="Q211" i="16"/>
  <c r="Q209" i="16"/>
  <c r="O209" i="16"/>
  <c r="M209" i="16"/>
  <c r="I209" i="16"/>
  <c r="F209" i="16"/>
  <c r="D209" i="16"/>
  <c r="P205" i="16"/>
  <c r="N205" i="16"/>
  <c r="K205" i="16"/>
  <c r="G205" i="16"/>
  <c r="D205" i="16"/>
  <c r="P204" i="16"/>
  <c r="K204" i="16"/>
  <c r="H204" i="16"/>
  <c r="E204" i="16"/>
  <c r="R204" i="16" s="1"/>
  <c r="N202" i="16"/>
  <c r="K202" i="16"/>
  <c r="H202" i="16"/>
  <c r="D202" i="16"/>
  <c r="Q201" i="16"/>
  <c r="N201" i="16"/>
  <c r="K201" i="16"/>
  <c r="H201" i="16"/>
  <c r="E201" i="16"/>
  <c r="R201" i="16" s="1"/>
  <c r="O199" i="16"/>
  <c r="K199" i="16"/>
  <c r="I199" i="16"/>
  <c r="D199" i="16"/>
  <c r="P198" i="16"/>
  <c r="M198" i="16"/>
  <c r="I198" i="16"/>
  <c r="D198" i="16"/>
  <c r="O196" i="16"/>
  <c r="L196" i="16"/>
  <c r="F196" i="16"/>
  <c r="O195" i="16"/>
  <c r="L195" i="16"/>
  <c r="G195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R187" i="16" s="1"/>
  <c r="D187" i="16"/>
  <c r="Q186" i="16"/>
  <c r="P186" i="16"/>
  <c r="O186" i="16"/>
  <c r="N186" i="16"/>
  <c r="M186" i="16"/>
  <c r="L186" i="16"/>
  <c r="K186" i="16"/>
  <c r="J186" i="16"/>
  <c r="I186" i="16"/>
  <c r="H186" i="16"/>
  <c r="F183" i="16"/>
  <c r="Q179" i="16"/>
  <c r="P179" i="16"/>
  <c r="N179" i="16"/>
  <c r="L179" i="16"/>
  <c r="J179" i="16"/>
  <c r="H179" i="16"/>
  <c r="F179" i="16"/>
  <c r="Q178" i="16"/>
  <c r="O178" i="16"/>
  <c r="N178" i="16"/>
  <c r="M178" i="16"/>
  <c r="L178" i="16"/>
  <c r="K178" i="16"/>
  <c r="J178" i="16"/>
  <c r="I178" i="16"/>
  <c r="H178" i="16"/>
  <c r="G178" i="16"/>
  <c r="F178" i="16"/>
  <c r="E178" i="16"/>
  <c r="R178" i="16" s="1"/>
  <c r="D178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R176" i="16" s="1"/>
  <c r="D176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R175" i="16" s="1"/>
  <c r="D175" i="16"/>
  <c r="Q173" i="16"/>
  <c r="O173" i="16"/>
  <c r="M173" i="16"/>
  <c r="K173" i="16"/>
  <c r="I173" i="16"/>
  <c r="H173" i="16"/>
  <c r="G173" i="16"/>
  <c r="E173" i="16"/>
  <c r="R173" i="16" s="1"/>
  <c r="D173" i="16"/>
  <c r="Q172" i="16"/>
  <c r="P172" i="16"/>
  <c r="N172" i="16"/>
  <c r="M172" i="16"/>
  <c r="L172" i="16"/>
  <c r="K172" i="16"/>
  <c r="J172" i="16"/>
  <c r="I172" i="16"/>
  <c r="H172" i="16"/>
  <c r="E172" i="16"/>
  <c r="R172" i="16" s="1"/>
  <c r="P170" i="16"/>
  <c r="M170" i="16"/>
  <c r="K170" i="16"/>
  <c r="I170" i="16"/>
  <c r="E170" i="16"/>
  <c r="I169" i="16"/>
  <c r="G169" i="16"/>
  <c r="E169" i="16"/>
  <c r="D169" i="16"/>
  <c r="R157" i="16"/>
  <c r="Q156" i="16"/>
  <c r="O156" i="16"/>
  <c r="N156" i="16"/>
  <c r="L156" i="16"/>
  <c r="J156" i="16"/>
  <c r="H156" i="16"/>
  <c r="F156" i="16"/>
  <c r="D156" i="16"/>
  <c r="O155" i="16"/>
  <c r="L155" i="16"/>
  <c r="J155" i="16"/>
  <c r="H155" i="16"/>
  <c r="F155" i="16"/>
  <c r="D155" i="16"/>
  <c r="Q154" i="16"/>
  <c r="O154" i="16"/>
  <c r="M154" i="16"/>
  <c r="K154" i="16"/>
  <c r="I154" i="16"/>
  <c r="H154" i="16"/>
  <c r="G154" i="16"/>
  <c r="F154" i="16"/>
  <c r="E154" i="16"/>
  <c r="R154" i="16" s="1"/>
  <c r="R153" i="16"/>
  <c r="R150" i="16"/>
  <c r="H144" i="16"/>
  <c r="G144" i="16"/>
  <c r="F144" i="16"/>
  <c r="E144" i="16"/>
  <c r="R144" i="16" s="1"/>
  <c r="D144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R143" i="16" s="1"/>
  <c r="D143" i="16"/>
  <c r="R142" i="16"/>
  <c r="G186" i="16"/>
  <c r="F186" i="16"/>
  <c r="E186" i="16"/>
  <c r="R186" i="16" s="1"/>
  <c r="D186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Q183" i="16"/>
  <c r="P183" i="16"/>
  <c r="O183" i="16"/>
  <c r="N183" i="16"/>
  <c r="M183" i="16"/>
  <c r="L183" i="16"/>
  <c r="K183" i="16"/>
  <c r="J183" i="16"/>
  <c r="I183" i="16"/>
  <c r="H183" i="16"/>
  <c r="G183" i="16"/>
  <c r="E183" i="16"/>
  <c r="R183" i="16" s="1"/>
  <c r="D183" i="16"/>
  <c r="O179" i="16"/>
  <c r="M179" i="16"/>
  <c r="K179" i="16"/>
  <c r="I179" i="16"/>
  <c r="G179" i="16"/>
  <c r="E179" i="16"/>
  <c r="D179" i="16"/>
  <c r="P178" i="16"/>
  <c r="P173" i="16"/>
  <c r="N173" i="16"/>
  <c r="L173" i="16"/>
  <c r="J173" i="16"/>
  <c r="F173" i="16"/>
  <c r="O172" i="16"/>
  <c r="G172" i="16"/>
  <c r="F172" i="16"/>
  <c r="D172" i="16"/>
  <c r="Q170" i="16"/>
  <c r="O170" i="16"/>
  <c r="N170" i="16"/>
  <c r="L170" i="16"/>
  <c r="J170" i="16"/>
  <c r="H170" i="16"/>
  <c r="G170" i="16"/>
  <c r="F170" i="16"/>
  <c r="D170" i="16"/>
  <c r="Q169" i="16"/>
  <c r="P169" i="16"/>
  <c r="O169" i="16"/>
  <c r="N169" i="16"/>
  <c r="M169" i="16"/>
  <c r="L169" i="16"/>
  <c r="K169" i="16"/>
  <c r="J169" i="16"/>
  <c r="H169" i="16"/>
  <c r="F169" i="16"/>
  <c r="R168" i="16"/>
  <c r="R161" i="16"/>
  <c r="R160" i="16"/>
  <c r="R159" i="16"/>
  <c r="P156" i="16"/>
  <c r="M156" i="16"/>
  <c r="K156" i="16"/>
  <c r="I156" i="16"/>
  <c r="G156" i="16"/>
  <c r="E156" i="16"/>
  <c r="R156" i="16" s="1"/>
  <c r="Q155" i="16"/>
  <c r="P155" i="16"/>
  <c r="N155" i="16"/>
  <c r="M155" i="16"/>
  <c r="K155" i="16"/>
  <c r="I155" i="16"/>
  <c r="G155" i="16"/>
  <c r="E155" i="16"/>
  <c r="R155" i="16" s="1"/>
  <c r="P154" i="16"/>
  <c r="N154" i="16"/>
  <c r="L154" i="16"/>
  <c r="J154" i="16"/>
  <c r="D154" i="16"/>
  <c r="R152" i="16"/>
  <c r="R149" i="16"/>
  <c r="R147" i="16"/>
  <c r="R146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R135" i="16" s="1"/>
  <c r="D135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R134" i="16" s="1"/>
  <c r="D134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R133" i="16" s="1"/>
  <c r="D133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R131" i="16" s="1"/>
  <c r="D131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R126" i="16" s="1"/>
  <c r="D126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R124" i="16" s="1"/>
  <c r="D124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R123" i="16" s="1"/>
  <c r="D123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R121" i="16" s="1"/>
  <c r="D121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R120" i="16" s="1"/>
  <c r="D120" i="16"/>
  <c r="P118" i="16"/>
  <c r="O118" i="16"/>
  <c r="N118" i="16"/>
  <c r="L118" i="16"/>
  <c r="J118" i="16"/>
  <c r="H118" i="16"/>
  <c r="F118" i="16"/>
  <c r="D118" i="16"/>
  <c r="O117" i="16"/>
  <c r="M117" i="16"/>
  <c r="J117" i="16"/>
  <c r="H117" i="16"/>
  <c r="G117" i="16"/>
  <c r="D117" i="16"/>
  <c r="P109" i="16"/>
  <c r="N109" i="16"/>
  <c r="L109" i="16"/>
  <c r="J109" i="16"/>
  <c r="H109" i="16"/>
  <c r="F109" i="16"/>
  <c r="D109" i="16"/>
  <c r="Q108" i="16"/>
  <c r="P108" i="16"/>
  <c r="N108" i="16"/>
  <c r="L108" i="16"/>
  <c r="J108" i="16"/>
  <c r="H108" i="16"/>
  <c r="F108" i="16"/>
  <c r="D108" i="16"/>
  <c r="Q107" i="16"/>
  <c r="P107" i="16"/>
  <c r="N107" i="16"/>
  <c r="L107" i="16"/>
  <c r="J107" i="16"/>
  <c r="H107" i="16"/>
  <c r="F107" i="16"/>
  <c r="D107" i="16"/>
  <c r="P105" i="16"/>
  <c r="N105" i="16"/>
  <c r="L105" i="16"/>
  <c r="K105" i="16"/>
  <c r="I105" i="16"/>
  <c r="G105" i="16"/>
  <c r="E105" i="16"/>
  <c r="P101" i="16"/>
  <c r="M101" i="16"/>
  <c r="K101" i="16"/>
  <c r="J101" i="16"/>
  <c r="H101" i="16"/>
  <c r="F101" i="16"/>
  <c r="D101" i="16"/>
  <c r="Q100" i="16"/>
  <c r="O100" i="16"/>
  <c r="M100" i="16"/>
  <c r="K100" i="16"/>
  <c r="I100" i="16"/>
  <c r="G100" i="16"/>
  <c r="E100" i="16"/>
  <c r="R100" i="16" s="1"/>
  <c r="Q98" i="16"/>
  <c r="P98" i="16"/>
  <c r="N98" i="16"/>
  <c r="L98" i="16"/>
  <c r="J98" i="16"/>
  <c r="H98" i="16"/>
  <c r="G98" i="16"/>
  <c r="F98" i="16"/>
  <c r="E98" i="16"/>
  <c r="R98" i="16" s="1"/>
  <c r="D98" i="16"/>
  <c r="Q97" i="16"/>
  <c r="P97" i="16"/>
  <c r="O97" i="16"/>
  <c r="N97" i="16"/>
  <c r="M97" i="16"/>
  <c r="L97" i="16"/>
  <c r="K97" i="16"/>
  <c r="J97" i="16"/>
  <c r="I97" i="16"/>
  <c r="G97" i="16"/>
  <c r="E97" i="16"/>
  <c r="R97" i="16" s="1"/>
  <c r="Q95" i="16"/>
  <c r="P95" i="16"/>
  <c r="N95" i="16"/>
  <c r="M92" i="16"/>
  <c r="J92" i="16"/>
  <c r="H92" i="16"/>
  <c r="G92" i="16"/>
  <c r="E92" i="16"/>
  <c r="O91" i="16"/>
  <c r="M91" i="16"/>
  <c r="K91" i="16"/>
  <c r="I91" i="16"/>
  <c r="G91" i="16"/>
  <c r="E91" i="16"/>
  <c r="R90" i="16"/>
  <c r="M95" i="16"/>
  <c r="L95" i="16"/>
  <c r="K95" i="16"/>
  <c r="J95" i="16"/>
  <c r="I95" i="16"/>
  <c r="H95" i="16"/>
  <c r="G95" i="16"/>
  <c r="F95" i="16"/>
  <c r="E95" i="16"/>
  <c r="R95" i="16" s="1"/>
  <c r="D95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R94" i="16" s="1"/>
  <c r="D94" i="16"/>
  <c r="Q118" i="16"/>
  <c r="M118" i="16"/>
  <c r="K118" i="16"/>
  <c r="I118" i="16"/>
  <c r="G118" i="16"/>
  <c r="E118" i="16"/>
  <c r="R118" i="16" s="1"/>
  <c r="Q117" i="16"/>
  <c r="P117" i="16"/>
  <c r="N117" i="16"/>
  <c r="L117" i="16"/>
  <c r="K117" i="16"/>
  <c r="I117" i="16"/>
  <c r="F117" i="16"/>
  <c r="E117" i="16"/>
  <c r="R117" i="16" s="1"/>
  <c r="R116" i="16"/>
  <c r="Q109" i="16"/>
  <c r="O109" i="16"/>
  <c r="M109" i="16"/>
  <c r="K109" i="16"/>
  <c r="I109" i="16"/>
  <c r="G109" i="16"/>
  <c r="E109" i="16"/>
  <c r="R109" i="16" s="1"/>
  <c r="O108" i="16"/>
  <c r="M108" i="16"/>
  <c r="K108" i="16"/>
  <c r="I108" i="16"/>
  <c r="G108" i="16"/>
  <c r="E108" i="16"/>
  <c r="R108" i="16" s="1"/>
  <c r="O107" i="16"/>
  <c r="M107" i="16"/>
  <c r="K107" i="16"/>
  <c r="I107" i="16"/>
  <c r="G107" i="16"/>
  <c r="E107" i="16"/>
  <c r="R107" i="16" s="1"/>
  <c r="Q105" i="16"/>
  <c r="O105" i="16"/>
  <c r="M105" i="16"/>
  <c r="J105" i="16"/>
  <c r="H105" i="16"/>
  <c r="F105" i="16"/>
  <c r="D105" i="16"/>
  <c r="Q101" i="16"/>
  <c r="O101" i="16"/>
  <c r="N101" i="16"/>
  <c r="L101" i="16"/>
  <c r="I101" i="16"/>
  <c r="G101" i="16"/>
  <c r="E101" i="16"/>
  <c r="P100" i="16"/>
  <c r="N100" i="16"/>
  <c r="L100" i="16"/>
  <c r="J100" i="16"/>
  <c r="H100" i="16"/>
  <c r="F100" i="16"/>
  <c r="D100" i="16"/>
  <c r="O98" i="16"/>
  <c r="M98" i="16"/>
  <c r="K98" i="16"/>
  <c r="I98" i="16"/>
  <c r="H97" i="16"/>
  <c r="F97" i="16"/>
  <c r="D97" i="16"/>
  <c r="O95" i="16"/>
  <c r="Q92" i="16"/>
  <c r="P92" i="16"/>
  <c r="O92" i="16"/>
  <c r="N92" i="16"/>
  <c r="L92" i="16"/>
  <c r="K92" i="16"/>
  <c r="I92" i="16"/>
  <c r="F92" i="16"/>
  <c r="D92" i="16"/>
  <c r="Q91" i="16"/>
  <c r="P91" i="16"/>
  <c r="N91" i="16"/>
  <c r="L91" i="16"/>
  <c r="J91" i="16"/>
  <c r="H91" i="16"/>
  <c r="F91" i="16"/>
  <c r="D91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R83" i="16" s="1"/>
  <c r="D83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R82" i="16" s="1"/>
  <c r="D82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R81" i="16" s="1"/>
  <c r="D81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R79" i="16" s="1"/>
  <c r="D79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R74" i="16" s="1"/>
  <c r="D74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R72" i="16" s="1"/>
  <c r="D72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R71" i="16" s="1"/>
  <c r="D71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R69" i="16" s="1"/>
  <c r="D69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R68" i="16" s="1"/>
  <c r="D68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R66" i="16" s="1"/>
  <c r="D66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R65" i="16" s="1"/>
  <c r="D65" i="16"/>
  <c r="R64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Q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Q43" i="16"/>
  <c r="P43" i="16"/>
  <c r="O43" i="16"/>
  <c r="N43" i="16"/>
  <c r="M43" i="16"/>
  <c r="L43" i="16"/>
  <c r="K43" i="16"/>
  <c r="J43" i="16"/>
  <c r="I43" i="16"/>
  <c r="H43" i="16"/>
  <c r="G43" i="16"/>
  <c r="E43" i="16"/>
  <c r="D43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R38" i="16"/>
  <c r="R13" i="16"/>
  <c r="F43" i="16"/>
  <c r="Q57" i="16"/>
  <c r="P53" i="16"/>
  <c r="G36" i="13"/>
  <c r="H36" i="13" s="1"/>
  <c r="I36" i="13" s="1"/>
  <c r="J36" i="13" s="1"/>
  <c r="K36" i="13" s="1"/>
  <c r="L36" i="13" s="1"/>
  <c r="M36" i="13" s="1"/>
  <c r="N36" i="13" s="1"/>
  <c r="O36" i="13" s="1"/>
  <c r="P36" i="13" s="1"/>
  <c r="G38" i="13"/>
  <c r="H38" i="13" s="1"/>
  <c r="I38" i="13" s="1"/>
  <c r="J38" i="13" s="1"/>
  <c r="K38" i="13" s="1"/>
  <c r="L38" i="13" s="1"/>
  <c r="M38" i="13" s="1"/>
  <c r="N38" i="13" s="1"/>
  <c r="O38" i="13" s="1"/>
  <c r="P38" i="13" s="1"/>
  <c r="F30" i="13"/>
  <c r="G30" i="13" s="1"/>
  <c r="H30" i="13" s="1"/>
  <c r="I30" i="13" s="1"/>
  <c r="J30" i="13" s="1"/>
  <c r="K30" i="13" s="1"/>
  <c r="L30" i="13" s="1"/>
  <c r="M30" i="13" s="1"/>
  <c r="N30" i="13" s="1"/>
  <c r="O30" i="13" s="1"/>
  <c r="P30" i="13" s="1"/>
  <c r="F28" i="13"/>
  <c r="G28" i="13" s="1"/>
  <c r="H28" i="13" s="1"/>
  <c r="I28" i="13"/>
  <c r="J28" i="13" s="1"/>
  <c r="K28" i="13" s="1"/>
  <c r="L28" i="13"/>
  <c r="M28" i="13" s="1"/>
  <c r="N28" i="13" s="1"/>
  <c r="O28" i="13" s="1"/>
  <c r="P28" i="13" s="1"/>
  <c r="F26" i="13"/>
  <c r="G26" i="13" s="1"/>
  <c r="H26" i="13" s="1"/>
  <c r="I26" i="13" s="1"/>
  <c r="J26" i="13" s="1"/>
  <c r="K26" i="13" s="1"/>
  <c r="L26" i="13" s="1"/>
  <c r="M26" i="13" s="1"/>
  <c r="N26" i="13" s="1"/>
  <c r="O26" i="13" s="1"/>
  <c r="P26" i="13" s="1"/>
  <c r="F24" i="13"/>
  <c r="G24" i="13" s="1"/>
  <c r="H24" i="13" s="1"/>
  <c r="I24" i="13" s="1"/>
  <c r="J24" i="13" s="1"/>
  <c r="K24" i="13" s="1"/>
  <c r="L24" i="13" s="1"/>
  <c r="M24" i="13" s="1"/>
  <c r="N24" i="13" s="1"/>
  <c r="O24" i="13" s="1"/>
  <c r="P24" i="13" s="1"/>
  <c r="F22" i="13"/>
  <c r="G22" i="13" s="1"/>
  <c r="F20" i="13"/>
  <c r="G20" i="13" s="1"/>
  <c r="H20" i="13" s="1"/>
  <c r="I20" i="13" s="1"/>
  <c r="J20" i="13" s="1"/>
  <c r="K20" i="13" s="1"/>
  <c r="L20" i="13" s="1"/>
  <c r="M20" i="13" s="1"/>
  <c r="N20" i="13" s="1"/>
  <c r="O20" i="13" s="1"/>
  <c r="P20" i="13" s="1"/>
  <c r="F18" i="13"/>
  <c r="G18" i="13" s="1"/>
  <c r="H18" i="13" s="1"/>
  <c r="I18" i="13" s="1"/>
  <c r="J18" i="13" s="1"/>
  <c r="K18" i="13" s="1"/>
  <c r="L18" i="13" s="1"/>
  <c r="M18" i="13" s="1"/>
  <c r="N18" i="13"/>
  <c r="O18" i="13" s="1"/>
  <c r="P18" i="13" s="1"/>
  <c r="B55" i="13"/>
  <c r="B15" i="13"/>
  <c r="C12" i="13"/>
  <c r="E9" i="13"/>
  <c r="F9" i="13" s="1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C50" i="13" l="1"/>
  <c r="C54" i="13"/>
  <c r="C46" i="13"/>
  <c r="C48" i="13"/>
  <c r="C52" i="13"/>
  <c r="D64" i="13"/>
  <c r="D115" i="19"/>
  <c r="D89" i="19"/>
  <c r="D62" i="13"/>
  <c r="D60" i="13"/>
  <c r="D64" i="19"/>
  <c r="D58" i="13"/>
  <c r="D38" i="19"/>
  <c r="D38" i="15"/>
  <c r="D12" i="13"/>
  <c r="N42" i="13"/>
  <c r="O42" i="13" s="1"/>
  <c r="P42" i="13" s="1"/>
  <c r="F115" i="18"/>
  <c r="F89" i="18"/>
  <c r="E34" i="13"/>
  <c r="R82" i="18"/>
  <c r="R79" i="18"/>
  <c r="P78" i="18"/>
  <c r="N78" i="18"/>
  <c r="L78" i="18"/>
  <c r="J78" i="18"/>
  <c r="H78" i="18"/>
  <c r="F78" i="18"/>
  <c r="D78" i="18"/>
  <c r="Q77" i="18"/>
  <c r="O77" i="18"/>
  <c r="M77" i="18"/>
  <c r="K77" i="18"/>
  <c r="I77" i="18"/>
  <c r="G77" i="18"/>
  <c r="E77" i="18"/>
  <c r="R77" i="18" s="1"/>
  <c r="P76" i="18"/>
  <c r="N76" i="18"/>
  <c r="L76" i="18"/>
  <c r="J76" i="18"/>
  <c r="H76" i="18"/>
  <c r="F76" i="18"/>
  <c r="D76" i="18"/>
  <c r="R74" i="18"/>
  <c r="E127" i="18"/>
  <c r="E129" i="18"/>
  <c r="E128" i="18"/>
  <c r="D128" i="18"/>
  <c r="D127" i="18"/>
  <c r="D129" i="18"/>
  <c r="E101" i="18"/>
  <c r="E102" i="18"/>
  <c r="E103" i="18"/>
  <c r="D101" i="18"/>
  <c r="D102" i="18"/>
  <c r="D103" i="18"/>
  <c r="R57" i="18"/>
  <c r="E32" i="18"/>
  <c r="R32" i="18" s="1"/>
  <c r="R56" i="18"/>
  <c r="E31" i="18"/>
  <c r="R31" i="18" s="1"/>
  <c r="R55" i="18"/>
  <c r="E30" i="18"/>
  <c r="R30" i="18" s="1"/>
  <c r="R53" i="18"/>
  <c r="E28" i="18"/>
  <c r="R28" i="18" s="1"/>
  <c r="Q50" i="18"/>
  <c r="Q25" i="18" s="1"/>
  <c r="Q51" i="18"/>
  <c r="Q26" i="18" s="1"/>
  <c r="Q52" i="18"/>
  <c r="Q27" i="18" s="1"/>
  <c r="Q24" i="18"/>
  <c r="P50" i="18"/>
  <c r="P25" i="18" s="1"/>
  <c r="P51" i="18"/>
  <c r="P26" i="18" s="1"/>
  <c r="P52" i="18"/>
  <c r="P27" i="18" s="1"/>
  <c r="P24" i="18"/>
  <c r="O50" i="18"/>
  <c r="O25" i="18" s="1"/>
  <c r="O51" i="18"/>
  <c r="O26" i="18" s="1"/>
  <c r="O52" i="18"/>
  <c r="O27" i="18" s="1"/>
  <c r="O24" i="18"/>
  <c r="N50" i="18"/>
  <c r="N25" i="18" s="1"/>
  <c r="N51" i="18"/>
  <c r="N26" i="18" s="1"/>
  <c r="N52" i="18"/>
  <c r="N27" i="18" s="1"/>
  <c r="N24" i="18"/>
  <c r="M50" i="18"/>
  <c r="M25" i="18" s="1"/>
  <c r="M51" i="18"/>
  <c r="M26" i="18" s="1"/>
  <c r="M52" i="18"/>
  <c r="M27" i="18" s="1"/>
  <c r="M24" i="18"/>
  <c r="L50" i="18"/>
  <c r="L25" i="18" s="1"/>
  <c r="L51" i="18"/>
  <c r="L26" i="18" s="1"/>
  <c r="L52" i="18"/>
  <c r="L27" i="18" s="1"/>
  <c r="L24" i="18"/>
  <c r="K50" i="18"/>
  <c r="K25" i="18" s="1"/>
  <c r="K51" i="18"/>
  <c r="K26" i="18" s="1"/>
  <c r="K52" i="18"/>
  <c r="K27" i="18" s="1"/>
  <c r="K24" i="18"/>
  <c r="J50" i="18"/>
  <c r="J25" i="18" s="1"/>
  <c r="J51" i="18"/>
  <c r="J26" i="18" s="1"/>
  <c r="J52" i="18"/>
  <c r="J27" i="18" s="1"/>
  <c r="J24" i="18"/>
  <c r="I50" i="18"/>
  <c r="I25" i="18" s="1"/>
  <c r="I51" i="18"/>
  <c r="I52" i="18"/>
  <c r="I27" i="18" s="1"/>
  <c r="I24" i="18"/>
  <c r="H50" i="18"/>
  <c r="H51" i="18"/>
  <c r="H26" i="18" s="1"/>
  <c r="H52" i="18"/>
  <c r="H24" i="18"/>
  <c r="G50" i="18"/>
  <c r="G25" i="18" s="1"/>
  <c r="G51" i="18"/>
  <c r="G52" i="18"/>
  <c r="G27" i="18" s="1"/>
  <c r="G24" i="18"/>
  <c r="F50" i="18"/>
  <c r="F51" i="18"/>
  <c r="F26" i="18" s="1"/>
  <c r="F52" i="18"/>
  <c r="F24" i="18"/>
  <c r="R49" i="18"/>
  <c r="E50" i="18"/>
  <c r="E51" i="18"/>
  <c r="E52" i="18"/>
  <c r="E24" i="18"/>
  <c r="D50" i="18"/>
  <c r="D51" i="18"/>
  <c r="D52" i="18"/>
  <c r="R48" i="18"/>
  <c r="E23" i="18"/>
  <c r="R23" i="18" s="1"/>
  <c r="R46" i="18"/>
  <c r="E21" i="18"/>
  <c r="R21" i="18" s="1"/>
  <c r="R45" i="18"/>
  <c r="E20" i="18"/>
  <c r="R20" i="18" s="1"/>
  <c r="R43" i="18"/>
  <c r="E18" i="18"/>
  <c r="R18" i="18" s="1"/>
  <c r="R42" i="18"/>
  <c r="E17" i="18"/>
  <c r="R17" i="18" s="1"/>
  <c r="R40" i="18"/>
  <c r="E15" i="18"/>
  <c r="R15" i="18" s="1"/>
  <c r="R39" i="18"/>
  <c r="E14" i="18"/>
  <c r="R14" i="18" s="1"/>
  <c r="R185" i="16"/>
  <c r="Q233" i="16"/>
  <c r="Q234" i="16"/>
  <c r="Q232" i="16"/>
  <c r="N233" i="16"/>
  <c r="N232" i="16"/>
  <c r="N234" i="16"/>
  <c r="K233" i="16"/>
  <c r="K232" i="16"/>
  <c r="K234" i="16"/>
  <c r="H233" i="16"/>
  <c r="H234" i="16"/>
  <c r="H232" i="16"/>
  <c r="R231" i="16"/>
  <c r="E234" i="16"/>
  <c r="R234" i="16" s="1"/>
  <c r="E232" i="16"/>
  <c r="R232" i="16" s="1"/>
  <c r="E233" i="16"/>
  <c r="R233" i="16" s="1"/>
  <c r="Q208" i="16"/>
  <c r="Q206" i="16"/>
  <c r="Q207" i="16"/>
  <c r="O206" i="16"/>
  <c r="O207" i="16"/>
  <c r="O208" i="16"/>
  <c r="L208" i="16"/>
  <c r="L206" i="16"/>
  <c r="L207" i="16"/>
  <c r="J206" i="16"/>
  <c r="J207" i="16"/>
  <c r="J208" i="16"/>
  <c r="H206" i="16"/>
  <c r="H208" i="16"/>
  <c r="H207" i="16"/>
  <c r="R205" i="16"/>
  <c r="E207" i="16"/>
  <c r="R207" i="16" s="1"/>
  <c r="E208" i="16"/>
  <c r="R208" i="16" s="1"/>
  <c r="E206" i="16"/>
  <c r="R206" i="16" s="1"/>
  <c r="P233" i="16"/>
  <c r="P234" i="16"/>
  <c r="P232" i="16"/>
  <c r="M233" i="16"/>
  <c r="M232" i="16"/>
  <c r="M234" i="16"/>
  <c r="L232" i="16"/>
  <c r="L234" i="16"/>
  <c r="L233" i="16"/>
  <c r="I233" i="16"/>
  <c r="I234" i="16"/>
  <c r="I232" i="16"/>
  <c r="F234" i="16"/>
  <c r="F233" i="16"/>
  <c r="F232" i="16"/>
  <c r="M208" i="16"/>
  <c r="M206" i="16"/>
  <c r="M207" i="16"/>
  <c r="I207" i="16"/>
  <c r="I206" i="16"/>
  <c r="I208" i="16"/>
  <c r="F207" i="16"/>
  <c r="F208" i="16"/>
  <c r="F206" i="16"/>
  <c r="O233" i="16"/>
  <c r="O232" i="16"/>
  <c r="O234" i="16"/>
  <c r="J233" i="16"/>
  <c r="J232" i="16"/>
  <c r="J234" i="16"/>
  <c r="G233" i="16"/>
  <c r="G232" i="16"/>
  <c r="G234" i="16"/>
  <c r="D233" i="16"/>
  <c r="D232" i="16"/>
  <c r="D234" i="16"/>
  <c r="P207" i="16"/>
  <c r="P208" i="16"/>
  <c r="P206" i="16"/>
  <c r="N206" i="16"/>
  <c r="N207" i="16"/>
  <c r="N208" i="16"/>
  <c r="K208" i="16"/>
  <c r="K206" i="16"/>
  <c r="K207" i="16"/>
  <c r="G206" i="16"/>
  <c r="G207" i="16"/>
  <c r="G208" i="16"/>
  <c r="D208" i="16"/>
  <c r="D206" i="16"/>
  <c r="D207" i="16"/>
  <c r="R224" i="16"/>
  <c r="R238" i="16"/>
  <c r="R221" i="16"/>
  <c r="R211" i="16"/>
  <c r="R225" i="16"/>
  <c r="R209" i="16"/>
  <c r="Q180" i="16"/>
  <c r="Q182" i="16"/>
  <c r="Q181" i="16"/>
  <c r="P180" i="16"/>
  <c r="P181" i="16"/>
  <c r="P182" i="16"/>
  <c r="N180" i="16"/>
  <c r="N181" i="16"/>
  <c r="N182" i="16"/>
  <c r="L181" i="16"/>
  <c r="L180" i="16"/>
  <c r="L182" i="16"/>
  <c r="J181" i="16"/>
  <c r="J180" i="16"/>
  <c r="J182" i="16"/>
  <c r="H180" i="16"/>
  <c r="H181" i="16"/>
  <c r="H182" i="16"/>
  <c r="F180" i="16"/>
  <c r="F181" i="16"/>
  <c r="F182" i="16"/>
  <c r="O180" i="16"/>
  <c r="O181" i="16"/>
  <c r="O182" i="16"/>
  <c r="M181" i="16"/>
  <c r="M180" i="16"/>
  <c r="M182" i="16"/>
  <c r="K181" i="16"/>
  <c r="K180" i="16"/>
  <c r="K182" i="16"/>
  <c r="I181" i="16"/>
  <c r="I180" i="16"/>
  <c r="I182" i="16"/>
  <c r="G180" i="16"/>
  <c r="G181" i="16"/>
  <c r="G182" i="16"/>
  <c r="R179" i="16"/>
  <c r="E180" i="16"/>
  <c r="R180" i="16" s="1"/>
  <c r="E181" i="16"/>
  <c r="R181" i="16" s="1"/>
  <c r="E182" i="16"/>
  <c r="R182" i="16" s="1"/>
  <c r="D182" i="16"/>
  <c r="D180" i="16"/>
  <c r="D181" i="16"/>
  <c r="R170" i="16"/>
  <c r="R169" i="16"/>
  <c r="Q128" i="16"/>
  <c r="Q129" i="16"/>
  <c r="Q130" i="16"/>
  <c r="P128" i="16"/>
  <c r="P129" i="16"/>
  <c r="P130" i="16"/>
  <c r="O128" i="16"/>
  <c r="O129" i="16"/>
  <c r="O130" i="16"/>
  <c r="N128" i="16"/>
  <c r="N129" i="16"/>
  <c r="N130" i="16"/>
  <c r="M128" i="16"/>
  <c r="M129" i="16"/>
  <c r="M130" i="16"/>
  <c r="L128" i="16"/>
  <c r="L129" i="16"/>
  <c r="L130" i="16"/>
  <c r="K128" i="16"/>
  <c r="K129" i="16"/>
  <c r="K130" i="16"/>
  <c r="J128" i="16"/>
  <c r="J129" i="16"/>
  <c r="J130" i="16"/>
  <c r="I128" i="16"/>
  <c r="I129" i="16"/>
  <c r="I130" i="16"/>
  <c r="H128" i="16"/>
  <c r="H129" i="16"/>
  <c r="H130" i="16"/>
  <c r="G128" i="16"/>
  <c r="G129" i="16"/>
  <c r="G130" i="16"/>
  <c r="F128" i="16"/>
  <c r="F129" i="16"/>
  <c r="F130" i="16"/>
  <c r="R127" i="16"/>
  <c r="E128" i="16"/>
  <c r="E129" i="16"/>
  <c r="R129" i="16" s="1"/>
  <c r="E130" i="16"/>
  <c r="R130" i="16" s="1"/>
  <c r="D128" i="16"/>
  <c r="D129" i="16"/>
  <c r="D130" i="16"/>
  <c r="P103" i="16"/>
  <c r="P104" i="16"/>
  <c r="P102" i="16"/>
  <c r="M102" i="16"/>
  <c r="M104" i="16"/>
  <c r="M103" i="16"/>
  <c r="K104" i="16"/>
  <c r="K102" i="16"/>
  <c r="K103" i="16"/>
  <c r="J102" i="16"/>
  <c r="J103" i="16"/>
  <c r="J104" i="16"/>
  <c r="H102" i="16"/>
  <c r="H103" i="16"/>
  <c r="H104" i="16"/>
  <c r="F103" i="16"/>
  <c r="F102" i="16"/>
  <c r="F104" i="16"/>
  <c r="D103" i="16"/>
  <c r="D102" i="16"/>
  <c r="D104" i="16"/>
  <c r="Q103" i="16"/>
  <c r="Q104" i="16"/>
  <c r="Q102" i="16"/>
  <c r="O103" i="16"/>
  <c r="O102" i="16"/>
  <c r="O104" i="16"/>
  <c r="N102" i="16"/>
  <c r="N104" i="16"/>
  <c r="N103" i="16"/>
  <c r="L104" i="16"/>
  <c r="L102" i="16"/>
  <c r="L103" i="16"/>
  <c r="I102" i="16"/>
  <c r="I103" i="16"/>
  <c r="I104" i="16"/>
  <c r="G103" i="16"/>
  <c r="G102" i="16"/>
  <c r="G104" i="16"/>
  <c r="R101" i="16"/>
  <c r="E103" i="16"/>
  <c r="R103" i="16" s="1"/>
  <c r="E102" i="16"/>
  <c r="R102" i="16" s="1"/>
  <c r="E104" i="16"/>
  <c r="R104" i="16" s="1"/>
  <c r="R105" i="16"/>
  <c r="R91" i="16"/>
  <c r="R92" i="16"/>
  <c r="Q76" i="16"/>
  <c r="Q77" i="16"/>
  <c r="Q78" i="16"/>
  <c r="P76" i="16"/>
  <c r="P77" i="16"/>
  <c r="P78" i="16"/>
  <c r="O76" i="16"/>
  <c r="O77" i="16"/>
  <c r="O78" i="16"/>
  <c r="N76" i="16"/>
  <c r="N77" i="16"/>
  <c r="N78" i="16"/>
  <c r="M76" i="16"/>
  <c r="M77" i="16"/>
  <c r="M78" i="16"/>
  <c r="L76" i="16"/>
  <c r="L77" i="16"/>
  <c r="L78" i="16"/>
  <c r="K76" i="16"/>
  <c r="K77" i="16"/>
  <c r="K78" i="16"/>
  <c r="J76" i="16"/>
  <c r="J77" i="16"/>
  <c r="J78" i="16"/>
  <c r="I76" i="16"/>
  <c r="I77" i="16"/>
  <c r="I78" i="16"/>
  <c r="H76" i="16"/>
  <c r="H77" i="16"/>
  <c r="H78" i="16"/>
  <c r="G76" i="16"/>
  <c r="G77" i="16"/>
  <c r="G78" i="16"/>
  <c r="F76" i="16"/>
  <c r="F77" i="16"/>
  <c r="F78" i="16"/>
  <c r="R75" i="16"/>
  <c r="E76" i="16"/>
  <c r="R76" i="16" s="1"/>
  <c r="E77" i="16"/>
  <c r="R77" i="16" s="1"/>
  <c r="E78" i="16"/>
  <c r="R78" i="16" s="1"/>
  <c r="D76" i="16"/>
  <c r="D77" i="16"/>
  <c r="D78" i="16"/>
  <c r="R57" i="16"/>
  <c r="R32" i="16"/>
  <c r="R56" i="16"/>
  <c r="R31" i="16"/>
  <c r="R55" i="16"/>
  <c r="R30" i="16"/>
  <c r="R53" i="16"/>
  <c r="R28" i="16"/>
  <c r="Q50" i="16"/>
  <c r="Q51" i="16"/>
  <c r="Q52" i="16"/>
  <c r="P50" i="16"/>
  <c r="P51" i="16"/>
  <c r="P52" i="16"/>
  <c r="O50" i="16"/>
  <c r="O51" i="16"/>
  <c r="O52" i="16"/>
  <c r="N50" i="16"/>
  <c r="N51" i="16"/>
  <c r="N52" i="16"/>
  <c r="M50" i="16"/>
  <c r="M51" i="16"/>
  <c r="M52" i="16"/>
  <c r="L50" i="16"/>
  <c r="L51" i="16"/>
  <c r="L52" i="16"/>
  <c r="K50" i="16"/>
  <c r="K51" i="16"/>
  <c r="K52" i="16"/>
  <c r="J50" i="16"/>
  <c r="J51" i="16"/>
  <c r="J52" i="16"/>
  <c r="I50" i="16"/>
  <c r="I51" i="16"/>
  <c r="I52" i="16"/>
  <c r="H50" i="16"/>
  <c r="H51" i="16"/>
  <c r="H52" i="16"/>
  <c r="G50" i="16"/>
  <c r="G51" i="16"/>
  <c r="G52" i="16"/>
  <c r="F50" i="16"/>
  <c r="F51" i="16"/>
  <c r="F52" i="16"/>
  <c r="R49" i="16"/>
  <c r="E50" i="16"/>
  <c r="E51" i="16"/>
  <c r="E52" i="16"/>
  <c r="D50" i="16"/>
  <c r="D51" i="16"/>
  <c r="D52" i="16"/>
  <c r="R48" i="16"/>
  <c r="R23" i="16"/>
  <c r="R46" i="16"/>
  <c r="R21" i="16"/>
  <c r="R45" i="16"/>
  <c r="R20" i="16"/>
  <c r="R43" i="16"/>
  <c r="R18" i="16"/>
  <c r="R42" i="16"/>
  <c r="R17" i="16"/>
  <c r="R40" i="16"/>
  <c r="R15" i="16"/>
  <c r="R39" i="16"/>
  <c r="R14" i="16"/>
  <c r="Q36" i="13"/>
  <c r="H22" i="13"/>
  <c r="I22" i="13" s="1"/>
  <c r="J22" i="13" s="1"/>
  <c r="K22" i="13" s="1"/>
  <c r="L22" i="13" s="1"/>
  <c r="M22" i="13" s="1"/>
  <c r="N22" i="13" s="1"/>
  <c r="O22" i="13" s="1"/>
  <c r="P22" i="13" s="1"/>
  <c r="C18" i="13"/>
  <c r="C20" i="13"/>
  <c r="C22" i="13"/>
  <c r="C24" i="13"/>
  <c r="C14" i="13"/>
  <c r="D32" i="13"/>
  <c r="E32" i="13" s="1"/>
  <c r="F32" i="13" s="1"/>
  <c r="G32" i="13" s="1"/>
  <c r="H32" i="13" s="1"/>
  <c r="I32" i="13" s="1"/>
  <c r="J32" i="13" s="1"/>
  <c r="K32" i="13" s="1"/>
  <c r="L32" i="13" s="1"/>
  <c r="M32" i="13" s="1"/>
  <c r="N32" i="13" s="1"/>
  <c r="O32" i="13" s="1"/>
  <c r="P32" i="13" s="1"/>
  <c r="D50" i="13" l="1"/>
  <c r="D89" i="17"/>
  <c r="D140" i="17"/>
  <c r="D54" i="13"/>
  <c r="D46" i="13"/>
  <c r="D38" i="17"/>
  <c r="D48" i="13"/>
  <c r="D64" i="17"/>
  <c r="D52" i="13"/>
  <c r="D115" i="17"/>
  <c r="E64" i="13"/>
  <c r="E115" i="19"/>
  <c r="D116" i="19"/>
  <c r="D117" i="19"/>
  <c r="D120" i="19"/>
  <c r="D122" i="19"/>
  <c r="D123" i="19"/>
  <c r="D125" i="19"/>
  <c r="D130" i="19"/>
  <c r="D133" i="19"/>
  <c r="D119" i="19"/>
  <c r="D126" i="19"/>
  <c r="D132" i="19"/>
  <c r="D134" i="19"/>
  <c r="D90" i="19"/>
  <c r="D91" i="19"/>
  <c r="D96" i="19"/>
  <c r="D97" i="19"/>
  <c r="D99" i="19"/>
  <c r="D100" i="19"/>
  <c r="D104" i="19"/>
  <c r="D106" i="19"/>
  <c r="D108" i="19"/>
  <c r="D93" i="19"/>
  <c r="D94" i="19"/>
  <c r="D107" i="19"/>
  <c r="E62" i="13"/>
  <c r="E89" i="19"/>
  <c r="E60" i="13"/>
  <c r="E64" i="19"/>
  <c r="D65" i="19"/>
  <c r="D66" i="19"/>
  <c r="D68" i="19"/>
  <c r="D69" i="19"/>
  <c r="D71" i="19"/>
  <c r="D72" i="19"/>
  <c r="D74" i="19"/>
  <c r="D75" i="19"/>
  <c r="D82" i="19"/>
  <c r="D83" i="19"/>
  <c r="D79" i="19"/>
  <c r="D81" i="19"/>
  <c r="D56" i="13"/>
  <c r="E58" i="13"/>
  <c r="E38" i="19"/>
  <c r="D39" i="19"/>
  <c r="D40" i="19"/>
  <c r="D42" i="19"/>
  <c r="D45" i="19"/>
  <c r="D49" i="19"/>
  <c r="D43" i="19"/>
  <c r="D46" i="19"/>
  <c r="D48" i="19"/>
  <c r="D53" i="19"/>
  <c r="D55" i="19"/>
  <c r="D56" i="19"/>
  <c r="D13" i="19"/>
  <c r="D57" i="19"/>
  <c r="D39" i="15"/>
  <c r="D40" i="15"/>
  <c r="D45" i="15"/>
  <c r="D48" i="15"/>
  <c r="D49" i="15"/>
  <c r="D53" i="15"/>
  <c r="D42" i="15"/>
  <c r="D43" i="15"/>
  <c r="D46" i="15"/>
  <c r="D55" i="15"/>
  <c r="D56" i="15"/>
  <c r="D57" i="15"/>
  <c r="E12" i="13"/>
  <c r="E38" i="15"/>
  <c r="D64" i="15"/>
  <c r="D14" i="13"/>
  <c r="F119" i="18"/>
  <c r="F123" i="18"/>
  <c r="F120" i="18"/>
  <c r="F122" i="18"/>
  <c r="F126" i="18"/>
  <c r="F132" i="18"/>
  <c r="F117" i="18"/>
  <c r="F130" i="18"/>
  <c r="F133" i="18"/>
  <c r="F134" i="18"/>
  <c r="F116" i="18"/>
  <c r="F125" i="18"/>
  <c r="G115" i="18"/>
  <c r="F91" i="18"/>
  <c r="F106" i="18"/>
  <c r="F90" i="18"/>
  <c r="F94" i="18"/>
  <c r="F96" i="18"/>
  <c r="F97" i="18"/>
  <c r="F99" i="18"/>
  <c r="F100" i="18"/>
  <c r="F104" i="18"/>
  <c r="F93" i="18"/>
  <c r="F107" i="18"/>
  <c r="F108" i="18"/>
  <c r="F13" i="18"/>
  <c r="G89" i="18"/>
  <c r="F34" i="13"/>
  <c r="I26" i="18"/>
  <c r="H25" i="18"/>
  <c r="H27" i="18"/>
  <c r="G26" i="18"/>
  <c r="F25" i="18"/>
  <c r="F27" i="18"/>
  <c r="R24" i="18"/>
  <c r="R50" i="18"/>
  <c r="E25" i="18"/>
  <c r="R25" i="18" s="1"/>
  <c r="R51" i="18"/>
  <c r="E26" i="18"/>
  <c r="R26" i="18" s="1"/>
  <c r="R52" i="18"/>
  <c r="E27" i="18"/>
  <c r="R27" i="18" s="1"/>
  <c r="R128" i="16"/>
  <c r="R24" i="16"/>
  <c r="R50" i="16"/>
  <c r="R25" i="16"/>
  <c r="R51" i="16"/>
  <c r="R26" i="16"/>
  <c r="R52" i="16"/>
  <c r="R27" i="16"/>
  <c r="Q38" i="13"/>
  <c r="C15" i="13"/>
  <c r="E50" i="13" l="1"/>
  <c r="E89" i="17"/>
  <c r="D93" i="17"/>
  <c r="D94" i="17"/>
  <c r="D100" i="17"/>
  <c r="D90" i="17"/>
  <c r="D91" i="17"/>
  <c r="D96" i="17"/>
  <c r="D97" i="17"/>
  <c r="D99" i="17"/>
  <c r="D104" i="17"/>
  <c r="D106" i="17"/>
  <c r="D107" i="17"/>
  <c r="D108" i="17"/>
  <c r="D142" i="17"/>
  <c r="D147" i="17"/>
  <c r="D151" i="17"/>
  <c r="D158" i="17"/>
  <c r="D159" i="17"/>
  <c r="D144" i="17"/>
  <c r="D145" i="17"/>
  <c r="D150" i="17"/>
  <c r="D148" i="17"/>
  <c r="D155" i="17"/>
  <c r="D157" i="17"/>
  <c r="D141" i="17"/>
  <c r="E54" i="13"/>
  <c r="E140" i="17"/>
  <c r="D44" i="13"/>
  <c r="E46" i="13"/>
  <c r="E38" i="17"/>
  <c r="D39" i="17"/>
  <c r="D42" i="17"/>
  <c r="D43" i="17"/>
  <c r="D49" i="17"/>
  <c r="D48" i="17"/>
  <c r="D40" i="17"/>
  <c r="D45" i="17"/>
  <c r="D55" i="17"/>
  <c r="D46" i="17"/>
  <c r="D53" i="17"/>
  <c r="D56" i="17"/>
  <c r="D57" i="17"/>
  <c r="D13" i="17"/>
  <c r="E48" i="13"/>
  <c r="E64" i="17"/>
  <c r="D81" i="17"/>
  <c r="D83" i="17"/>
  <c r="D71" i="17"/>
  <c r="D74" i="17"/>
  <c r="D75" i="17"/>
  <c r="D82" i="17"/>
  <c r="D66" i="17"/>
  <c r="D72" i="17"/>
  <c r="D79" i="17"/>
  <c r="D65" i="17"/>
  <c r="D68" i="17"/>
  <c r="D69" i="17"/>
  <c r="E115" i="17"/>
  <c r="E52" i="13"/>
  <c r="D116" i="17"/>
  <c r="D117" i="17"/>
  <c r="D123" i="17"/>
  <c r="D119" i="17"/>
  <c r="D133" i="17"/>
  <c r="D120" i="17"/>
  <c r="D122" i="17"/>
  <c r="D125" i="17"/>
  <c r="D130" i="17"/>
  <c r="D132" i="17"/>
  <c r="D134" i="17"/>
  <c r="D126" i="17"/>
  <c r="F64" i="13"/>
  <c r="F115" i="19"/>
  <c r="E119" i="19"/>
  <c r="E120" i="19"/>
  <c r="E126" i="19"/>
  <c r="E130" i="19"/>
  <c r="E132" i="19"/>
  <c r="E134" i="19"/>
  <c r="E116" i="19"/>
  <c r="E117" i="19"/>
  <c r="E122" i="19"/>
  <c r="E123" i="19"/>
  <c r="E125" i="19"/>
  <c r="E133" i="19"/>
  <c r="D129" i="19"/>
  <c r="D127" i="19"/>
  <c r="D128" i="19"/>
  <c r="D101" i="19"/>
  <c r="D103" i="19"/>
  <c r="D102" i="19"/>
  <c r="F89" i="19"/>
  <c r="F62" i="13"/>
  <c r="E96" i="19"/>
  <c r="E97" i="19"/>
  <c r="E99" i="19"/>
  <c r="E100" i="19"/>
  <c r="E106" i="19"/>
  <c r="E107" i="19"/>
  <c r="E90" i="19"/>
  <c r="E91" i="19"/>
  <c r="E93" i="19"/>
  <c r="E94" i="19"/>
  <c r="E104" i="19"/>
  <c r="E108" i="19"/>
  <c r="F60" i="13"/>
  <c r="F64" i="19"/>
  <c r="E65" i="19"/>
  <c r="E66" i="19"/>
  <c r="E69" i="19"/>
  <c r="E68" i="19"/>
  <c r="E71" i="19"/>
  <c r="E72" i="19"/>
  <c r="E75" i="19"/>
  <c r="E79" i="19"/>
  <c r="E81" i="19"/>
  <c r="E82" i="19"/>
  <c r="E83" i="19"/>
  <c r="E74" i="19"/>
  <c r="D78" i="19"/>
  <c r="D77" i="19"/>
  <c r="D76" i="19"/>
  <c r="D24" i="19"/>
  <c r="E56" i="13"/>
  <c r="F58" i="13"/>
  <c r="F38" i="19"/>
  <c r="E39" i="19"/>
  <c r="E40" i="19"/>
  <c r="E13" i="19"/>
  <c r="E42" i="19"/>
  <c r="E45" i="19"/>
  <c r="E55" i="19"/>
  <c r="E43" i="19"/>
  <c r="E46" i="19"/>
  <c r="E48" i="19"/>
  <c r="E53" i="19"/>
  <c r="E56" i="19"/>
  <c r="E57" i="19"/>
  <c r="E49" i="19"/>
  <c r="D50" i="19"/>
  <c r="D51" i="19"/>
  <c r="D52" i="19"/>
  <c r="D52" i="15"/>
  <c r="D51" i="15"/>
  <c r="D50" i="15"/>
  <c r="F12" i="13"/>
  <c r="F38" i="15"/>
  <c r="E42" i="15"/>
  <c r="E43" i="15"/>
  <c r="E45" i="15"/>
  <c r="E46" i="15"/>
  <c r="E55" i="15"/>
  <c r="E56" i="15"/>
  <c r="E57" i="15"/>
  <c r="E13" i="15"/>
  <c r="E39" i="15"/>
  <c r="E40" i="15"/>
  <c r="E48" i="15"/>
  <c r="E49" i="15"/>
  <c r="E53" i="15"/>
  <c r="D66" i="15"/>
  <c r="D15" i="15" s="1"/>
  <c r="D79" i="15"/>
  <c r="D28" i="15" s="1"/>
  <c r="D83" i="15"/>
  <c r="D32" i="15" s="1"/>
  <c r="D68" i="15"/>
  <c r="D17" i="15" s="1"/>
  <c r="D69" i="15"/>
  <c r="D18" i="15" s="1"/>
  <c r="D71" i="15"/>
  <c r="D20" i="15" s="1"/>
  <c r="D74" i="15"/>
  <c r="D23" i="15" s="1"/>
  <c r="D81" i="15"/>
  <c r="D30" i="15" s="1"/>
  <c r="D72" i="15"/>
  <c r="D21" i="15" s="1"/>
  <c r="D75" i="15"/>
  <c r="D82" i="15"/>
  <c r="D31" i="15" s="1"/>
  <c r="D65" i="15"/>
  <c r="D14" i="15" s="1"/>
  <c r="E14" i="13"/>
  <c r="E64" i="15"/>
  <c r="D14" i="19"/>
  <c r="D15" i="19"/>
  <c r="D17" i="19"/>
  <c r="D18" i="19"/>
  <c r="D20" i="19"/>
  <c r="D21" i="19"/>
  <c r="D23" i="19"/>
  <c r="D31" i="19"/>
  <c r="D32" i="19"/>
  <c r="D28" i="19"/>
  <c r="D30" i="19"/>
  <c r="D13" i="15"/>
  <c r="D13" i="20" s="1"/>
  <c r="D10" i="13"/>
  <c r="F128" i="18"/>
  <c r="F129" i="18"/>
  <c r="F127" i="18"/>
  <c r="H115" i="18"/>
  <c r="G120" i="18"/>
  <c r="G122" i="18"/>
  <c r="G117" i="18"/>
  <c r="G119" i="18"/>
  <c r="G125" i="18"/>
  <c r="G130" i="18"/>
  <c r="G133" i="18"/>
  <c r="G132" i="18"/>
  <c r="G134" i="18"/>
  <c r="G116" i="18"/>
  <c r="G123" i="18"/>
  <c r="G126" i="18"/>
  <c r="F103" i="18"/>
  <c r="F102" i="18"/>
  <c r="F101" i="18"/>
  <c r="H89" i="18"/>
  <c r="G34" i="13"/>
  <c r="G107" i="18"/>
  <c r="G108" i="18"/>
  <c r="G91" i="18"/>
  <c r="G93" i="18"/>
  <c r="G94" i="18"/>
  <c r="G96" i="18"/>
  <c r="G97" i="18"/>
  <c r="G99" i="18"/>
  <c r="G100" i="18"/>
  <c r="G104" i="18"/>
  <c r="G90" i="18"/>
  <c r="G106" i="18"/>
  <c r="G13" i="18"/>
  <c r="D24" i="15" l="1"/>
  <c r="E10" i="13"/>
  <c r="F89" i="17"/>
  <c r="F50" i="13"/>
  <c r="E91" i="17"/>
  <c r="E96" i="17"/>
  <c r="E97" i="17"/>
  <c r="E99" i="17"/>
  <c r="E100" i="17"/>
  <c r="E90" i="17"/>
  <c r="E93" i="17"/>
  <c r="E94" i="17"/>
  <c r="E104" i="17"/>
  <c r="E106" i="17"/>
  <c r="E107" i="17"/>
  <c r="E108" i="17"/>
  <c r="D103" i="17"/>
  <c r="D101" i="17"/>
  <c r="D102" i="17"/>
  <c r="D153" i="17"/>
  <c r="D154" i="17"/>
  <c r="D152" i="17"/>
  <c r="F140" i="17"/>
  <c r="F54" i="13"/>
  <c r="E141" i="17"/>
  <c r="E159" i="17"/>
  <c r="E147" i="17"/>
  <c r="E151" i="17"/>
  <c r="E142" i="17"/>
  <c r="E145" i="17"/>
  <c r="E150" i="17"/>
  <c r="E158" i="17"/>
  <c r="E144" i="17"/>
  <c r="E148" i="17"/>
  <c r="E155" i="17"/>
  <c r="E157" i="17"/>
  <c r="E44" i="13"/>
  <c r="F46" i="13"/>
  <c r="F38" i="17"/>
  <c r="E39" i="17"/>
  <c r="E43" i="17"/>
  <c r="E45" i="17"/>
  <c r="E42" i="17"/>
  <c r="E46" i="17"/>
  <c r="E53" i="17"/>
  <c r="E40" i="17"/>
  <c r="E48" i="17"/>
  <c r="E56" i="17"/>
  <c r="E57" i="17"/>
  <c r="E49" i="17"/>
  <c r="E55" i="17"/>
  <c r="E13" i="17"/>
  <c r="D52" i="17"/>
  <c r="D27" i="17" s="1"/>
  <c r="D51" i="17"/>
  <c r="D26" i="17" s="1"/>
  <c r="D50" i="17"/>
  <c r="D25" i="17" s="1"/>
  <c r="D24" i="17"/>
  <c r="D24" i="20" s="1"/>
  <c r="F48" i="13"/>
  <c r="F64" i="17"/>
  <c r="E82" i="17"/>
  <c r="E66" i="17"/>
  <c r="E69" i="17"/>
  <c r="E72" i="17"/>
  <c r="E81" i="17"/>
  <c r="E83" i="17"/>
  <c r="E65" i="17"/>
  <c r="E68" i="17"/>
  <c r="E71" i="17"/>
  <c r="E74" i="17"/>
  <c r="E75" i="17"/>
  <c r="E79" i="17"/>
  <c r="D78" i="17"/>
  <c r="D77" i="17"/>
  <c r="D76" i="17"/>
  <c r="E123" i="17"/>
  <c r="E125" i="17"/>
  <c r="E130" i="17"/>
  <c r="E119" i="17"/>
  <c r="E120" i="17"/>
  <c r="E122" i="17"/>
  <c r="E126" i="17"/>
  <c r="E134" i="17"/>
  <c r="E116" i="17"/>
  <c r="E117" i="17"/>
  <c r="E132" i="17"/>
  <c r="E133" i="17"/>
  <c r="F52" i="13"/>
  <c r="F115" i="17"/>
  <c r="D129" i="17"/>
  <c r="D128" i="17"/>
  <c r="D127" i="17"/>
  <c r="D14" i="17"/>
  <c r="D17" i="17"/>
  <c r="D17" i="20" s="1"/>
  <c r="D18" i="17"/>
  <c r="D18" i="20" s="1"/>
  <c r="D23" i="17"/>
  <c r="D15" i="17"/>
  <c r="D15" i="20" s="1"/>
  <c r="D20" i="17"/>
  <c r="D30" i="17"/>
  <c r="D21" i="17"/>
  <c r="D28" i="17"/>
  <c r="D28" i="20" s="1"/>
  <c r="D31" i="17"/>
  <c r="D32" i="17"/>
  <c r="D32" i="20" s="1"/>
  <c r="G64" i="13"/>
  <c r="G115" i="19"/>
  <c r="F116" i="19"/>
  <c r="F117" i="19"/>
  <c r="F120" i="19"/>
  <c r="F122" i="19"/>
  <c r="F123" i="19"/>
  <c r="F125" i="19"/>
  <c r="F133" i="19"/>
  <c r="F119" i="19"/>
  <c r="F126" i="19"/>
  <c r="F130" i="19"/>
  <c r="F132" i="19"/>
  <c r="F134" i="19"/>
  <c r="E129" i="19"/>
  <c r="E128" i="19"/>
  <c r="E127" i="19"/>
  <c r="F107" i="19"/>
  <c r="F104" i="19"/>
  <c r="F94" i="19"/>
  <c r="F108" i="19"/>
  <c r="F106" i="19"/>
  <c r="F100" i="19"/>
  <c r="F99" i="19"/>
  <c r="F97" i="19"/>
  <c r="F96" i="19"/>
  <c r="F93" i="19"/>
  <c r="F91" i="19"/>
  <c r="F90" i="19"/>
  <c r="G89" i="19"/>
  <c r="G62" i="13"/>
  <c r="E103" i="19"/>
  <c r="E102" i="19"/>
  <c r="E101" i="19"/>
  <c r="G60" i="13"/>
  <c r="G64" i="19"/>
  <c r="F68" i="19"/>
  <c r="F65" i="19"/>
  <c r="F66" i="19"/>
  <c r="F69" i="19"/>
  <c r="F71" i="19"/>
  <c r="F72" i="19"/>
  <c r="F74" i="19"/>
  <c r="F75" i="19"/>
  <c r="F82" i="19"/>
  <c r="F83" i="19"/>
  <c r="F79" i="19"/>
  <c r="F81" i="19"/>
  <c r="E78" i="19"/>
  <c r="E77" i="19"/>
  <c r="E76" i="19"/>
  <c r="E24" i="19"/>
  <c r="F56" i="13"/>
  <c r="G58" i="13"/>
  <c r="G38" i="19"/>
  <c r="F13" i="19"/>
  <c r="F39" i="19"/>
  <c r="F40" i="19"/>
  <c r="F42" i="19"/>
  <c r="F49" i="19"/>
  <c r="F55" i="19"/>
  <c r="F45" i="19"/>
  <c r="F48" i="19"/>
  <c r="F53" i="19"/>
  <c r="F57" i="19"/>
  <c r="F43" i="19"/>
  <c r="F46" i="19"/>
  <c r="F56" i="19"/>
  <c r="E14" i="19"/>
  <c r="E15" i="19"/>
  <c r="E17" i="19"/>
  <c r="E20" i="19"/>
  <c r="E30" i="19"/>
  <c r="E18" i="19"/>
  <c r="E21" i="19"/>
  <c r="E23" i="19"/>
  <c r="E28" i="19"/>
  <c r="E31" i="19"/>
  <c r="E32" i="19"/>
  <c r="E51" i="19"/>
  <c r="E52" i="19"/>
  <c r="E50" i="19"/>
  <c r="F10" i="13"/>
  <c r="G38" i="15"/>
  <c r="G12" i="13"/>
  <c r="F39" i="15"/>
  <c r="F43" i="15"/>
  <c r="F49" i="15"/>
  <c r="F53" i="15"/>
  <c r="F13" i="15"/>
  <c r="F40" i="15"/>
  <c r="F42" i="15"/>
  <c r="F45" i="15"/>
  <c r="F46" i="15"/>
  <c r="F48" i="15"/>
  <c r="F55" i="15"/>
  <c r="F56" i="15"/>
  <c r="F57" i="15"/>
  <c r="E52" i="15"/>
  <c r="E51" i="15"/>
  <c r="E50" i="15"/>
  <c r="D76" i="15"/>
  <c r="D25" i="15" s="1"/>
  <c r="D78" i="15"/>
  <c r="D27" i="15" s="1"/>
  <c r="D77" i="15"/>
  <c r="D26" i="15" s="1"/>
  <c r="F14" i="13"/>
  <c r="F64" i="15"/>
  <c r="E71" i="15"/>
  <c r="E72" i="15"/>
  <c r="E74" i="15"/>
  <c r="E75" i="15"/>
  <c r="E81" i="15"/>
  <c r="E65" i="15"/>
  <c r="E79" i="15"/>
  <c r="E82" i="15"/>
  <c r="E83" i="15"/>
  <c r="E66" i="15"/>
  <c r="E68" i="15"/>
  <c r="E69" i="15"/>
  <c r="D20" i="20"/>
  <c r="D23" i="20"/>
  <c r="D30" i="20"/>
  <c r="D21" i="20"/>
  <c r="D31" i="20"/>
  <c r="D14" i="20"/>
  <c r="D26" i="19"/>
  <c r="D25" i="19"/>
  <c r="D27" i="19"/>
  <c r="H123" i="18"/>
  <c r="H125" i="18"/>
  <c r="H134" i="18"/>
  <c r="H126" i="18"/>
  <c r="H132" i="18"/>
  <c r="H116" i="18"/>
  <c r="H117" i="18"/>
  <c r="H130" i="18"/>
  <c r="H133" i="18"/>
  <c r="H119" i="18"/>
  <c r="H120" i="18"/>
  <c r="H122" i="18"/>
  <c r="I115" i="18"/>
  <c r="G129" i="18"/>
  <c r="G128" i="18"/>
  <c r="G127" i="18"/>
  <c r="H91" i="18"/>
  <c r="H93" i="18"/>
  <c r="H94" i="18"/>
  <c r="H96" i="18"/>
  <c r="H97" i="18"/>
  <c r="H99" i="18"/>
  <c r="H100" i="18"/>
  <c r="H104" i="18"/>
  <c r="H90" i="18"/>
  <c r="H106" i="18"/>
  <c r="H107" i="18"/>
  <c r="H108" i="18"/>
  <c r="H13" i="18"/>
  <c r="I89" i="18"/>
  <c r="H34" i="13"/>
  <c r="G101" i="18"/>
  <c r="G103" i="18"/>
  <c r="G102" i="18"/>
  <c r="E17" i="15" l="1"/>
  <c r="E18" i="15"/>
  <c r="E20" i="15"/>
  <c r="F108" i="17"/>
  <c r="F106" i="17"/>
  <c r="F104" i="17"/>
  <c r="F107" i="17"/>
  <c r="F99" i="17"/>
  <c r="F97" i="17"/>
  <c r="F96" i="17"/>
  <c r="F91" i="17"/>
  <c r="F94" i="17"/>
  <c r="F93" i="17"/>
  <c r="F90" i="17"/>
  <c r="F100" i="17"/>
  <c r="G89" i="17"/>
  <c r="G50" i="13"/>
  <c r="E103" i="17"/>
  <c r="E101" i="17"/>
  <c r="E102" i="17"/>
  <c r="F145" i="17"/>
  <c r="F141" i="17"/>
  <c r="F155" i="17"/>
  <c r="F157" i="17"/>
  <c r="F159" i="17"/>
  <c r="F142" i="17"/>
  <c r="F144" i="17"/>
  <c r="F147" i="17"/>
  <c r="F148" i="17"/>
  <c r="F150" i="17"/>
  <c r="F151" i="17"/>
  <c r="F158" i="17"/>
  <c r="G54" i="13"/>
  <c r="G140" i="17"/>
  <c r="E154" i="17"/>
  <c r="E152" i="17"/>
  <c r="E153" i="17"/>
  <c r="F44" i="13"/>
  <c r="G46" i="13"/>
  <c r="G38" i="17"/>
  <c r="F13" i="17"/>
  <c r="F13" i="20" s="1"/>
  <c r="F40" i="17"/>
  <c r="F46" i="17"/>
  <c r="F48" i="17"/>
  <c r="F49" i="17"/>
  <c r="F53" i="17"/>
  <c r="F55" i="17"/>
  <c r="F39" i="17"/>
  <c r="F43" i="17"/>
  <c r="F56" i="17"/>
  <c r="F57" i="17"/>
  <c r="F42" i="17"/>
  <c r="F45" i="17"/>
  <c r="E14" i="17"/>
  <c r="E18" i="17"/>
  <c r="E20" i="17"/>
  <c r="E17" i="17"/>
  <c r="E21" i="17"/>
  <c r="E28" i="17"/>
  <c r="E15" i="17"/>
  <c r="E23" i="17"/>
  <c r="E31" i="17"/>
  <c r="E32" i="17"/>
  <c r="E51" i="17"/>
  <c r="E24" i="17"/>
  <c r="E50" i="17"/>
  <c r="E52" i="17"/>
  <c r="E30" i="17"/>
  <c r="G48" i="13"/>
  <c r="G64" i="17"/>
  <c r="F68" i="17"/>
  <c r="F74" i="17"/>
  <c r="F75" i="17"/>
  <c r="F82" i="17"/>
  <c r="F66" i="17"/>
  <c r="F69" i="17"/>
  <c r="F72" i="17"/>
  <c r="F79" i="17"/>
  <c r="F81" i="17"/>
  <c r="F83" i="17"/>
  <c r="F65" i="17"/>
  <c r="F71" i="17"/>
  <c r="E77" i="17"/>
  <c r="E78" i="17"/>
  <c r="E76" i="17"/>
  <c r="E129" i="17"/>
  <c r="E127" i="17"/>
  <c r="E128" i="17"/>
  <c r="G52" i="13"/>
  <c r="G115" i="17"/>
  <c r="F116" i="17"/>
  <c r="F120" i="17"/>
  <c r="F132" i="17"/>
  <c r="F133" i="17"/>
  <c r="F123" i="17"/>
  <c r="F125" i="17"/>
  <c r="F134" i="17"/>
  <c r="F122" i="17"/>
  <c r="F117" i="17"/>
  <c r="F126" i="17"/>
  <c r="F119" i="17"/>
  <c r="F130" i="17"/>
  <c r="F18" i="19"/>
  <c r="F21" i="19"/>
  <c r="F31" i="19"/>
  <c r="F32" i="19"/>
  <c r="E13" i="20"/>
  <c r="H115" i="19"/>
  <c r="H64" i="13"/>
  <c r="G119" i="19"/>
  <c r="G132" i="19"/>
  <c r="G134" i="19"/>
  <c r="G116" i="19"/>
  <c r="G117" i="19"/>
  <c r="G120" i="19"/>
  <c r="G122" i="19"/>
  <c r="G123" i="19"/>
  <c r="G125" i="19"/>
  <c r="G126" i="19"/>
  <c r="G130" i="19"/>
  <c r="G133" i="19"/>
  <c r="F129" i="19"/>
  <c r="F128" i="19"/>
  <c r="F127" i="19"/>
  <c r="F101" i="19"/>
  <c r="F103" i="19"/>
  <c r="F102" i="19"/>
  <c r="G108" i="19"/>
  <c r="G106" i="19"/>
  <c r="G93" i="19"/>
  <c r="G91" i="19"/>
  <c r="G90" i="19"/>
  <c r="G107" i="19"/>
  <c r="G104" i="19"/>
  <c r="G100" i="19"/>
  <c r="G99" i="19"/>
  <c r="G97" i="19"/>
  <c r="G96" i="19"/>
  <c r="G94" i="19"/>
  <c r="H89" i="19"/>
  <c r="H62" i="13"/>
  <c r="H64" i="19"/>
  <c r="H60" i="13"/>
  <c r="G65" i="19"/>
  <c r="G66" i="19"/>
  <c r="G68" i="19"/>
  <c r="G69" i="19"/>
  <c r="G71" i="19"/>
  <c r="G72" i="19"/>
  <c r="G74" i="19"/>
  <c r="G75" i="19"/>
  <c r="G79" i="19"/>
  <c r="G81" i="19"/>
  <c r="G82" i="19"/>
  <c r="G83" i="19"/>
  <c r="F78" i="19"/>
  <c r="F77" i="19"/>
  <c r="F76" i="19"/>
  <c r="F24" i="19"/>
  <c r="G56" i="13"/>
  <c r="H38" i="19"/>
  <c r="H58" i="13"/>
  <c r="G13" i="19"/>
  <c r="G39" i="19"/>
  <c r="G40" i="19"/>
  <c r="G43" i="19"/>
  <c r="G49" i="19"/>
  <c r="G56" i="19"/>
  <c r="G42" i="19"/>
  <c r="G55" i="19"/>
  <c r="G57" i="19"/>
  <c r="G45" i="19"/>
  <c r="G46" i="19"/>
  <c r="G48" i="19"/>
  <c r="G53" i="19"/>
  <c r="F50" i="19"/>
  <c r="F51" i="19"/>
  <c r="F52" i="19"/>
  <c r="E26" i="19"/>
  <c r="E27" i="19"/>
  <c r="E25" i="19"/>
  <c r="G40" i="15"/>
  <c r="G42" i="15"/>
  <c r="G45" i="15"/>
  <c r="G56" i="15"/>
  <c r="G57" i="15"/>
  <c r="G39" i="15"/>
  <c r="G43" i="15"/>
  <c r="G46" i="15"/>
  <c r="G48" i="15"/>
  <c r="G49" i="15"/>
  <c r="G53" i="15"/>
  <c r="G55" i="15"/>
  <c r="H38" i="15"/>
  <c r="H12" i="13"/>
  <c r="F52" i="15"/>
  <c r="F51" i="15"/>
  <c r="F50" i="15"/>
  <c r="E17" i="20"/>
  <c r="E18" i="20"/>
  <c r="E20" i="20"/>
  <c r="G64" i="15"/>
  <c r="G14" i="13"/>
  <c r="F68" i="15"/>
  <c r="F17" i="15" s="1"/>
  <c r="F79" i="15"/>
  <c r="F28" i="15" s="1"/>
  <c r="F82" i="15"/>
  <c r="F31" i="15" s="1"/>
  <c r="F66" i="15"/>
  <c r="F15" i="15" s="1"/>
  <c r="F69" i="15"/>
  <c r="F18" i="15" s="1"/>
  <c r="F71" i="15"/>
  <c r="F20" i="15" s="1"/>
  <c r="F72" i="15"/>
  <c r="F21" i="15" s="1"/>
  <c r="F75" i="15"/>
  <c r="F65" i="15"/>
  <c r="F14" i="15" s="1"/>
  <c r="F74" i="15"/>
  <c r="F23" i="15" s="1"/>
  <c r="F81" i="15"/>
  <c r="F30" i="15" s="1"/>
  <c r="F83" i="15"/>
  <c r="F32" i="15" s="1"/>
  <c r="E78" i="15"/>
  <c r="E77" i="15"/>
  <c r="E76" i="15"/>
  <c r="F17" i="19"/>
  <c r="F14" i="19"/>
  <c r="F15" i="19"/>
  <c r="F20" i="19"/>
  <c r="F23" i="19"/>
  <c r="F28" i="19"/>
  <c r="F30" i="19"/>
  <c r="E21" i="15"/>
  <c r="E30" i="15"/>
  <c r="E31" i="15"/>
  <c r="E32" i="15"/>
  <c r="E14" i="15"/>
  <c r="E15" i="15"/>
  <c r="E23" i="15"/>
  <c r="E24" i="15"/>
  <c r="E28" i="15"/>
  <c r="D25" i="20"/>
  <c r="D27" i="20"/>
  <c r="D26" i="20"/>
  <c r="H127" i="18"/>
  <c r="H129" i="18"/>
  <c r="H128" i="18"/>
  <c r="I126" i="18"/>
  <c r="I116" i="18"/>
  <c r="I117" i="18"/>
  <c r="I120" i="18"/>
  <c r="I122" i="18"/>
  <c r="I133" i="18"/>
  <c r="I119" i="18"/>
  <c r="I132" i="18"/>
  <c r="I134" i="18"/>
  <c r="I123" i="18"/>
  <c r="I125" i="18"/>
  <c r="I130" i="18"/>
  <c r="J115" i="18"/>
  <c r="H102" i="18"/>
  <c r="H103" i="18"/>
  <c r="H101" i="18"/>
  <c r="I90" i="18"/>
  <c r="I106" i="18"/>
  <c r="I93" i="18"/>
  <c r="I94" i="18"/>
  <c r="I96" i="18"/>
  <c r="I97" i="18"/>
  <c r="I99" i="18"/>
  <c r="I100" i="18"/>
  <c r="I104" i="18"/>
  <c r="I91" i="18"/>
  <c r="I107" i="18"/>
  <c r="I108" i="18"/>
  <c r="I13" i="18"/>
  <c r="J89" i="18"/>
  <c r="I34" i="13"/>
  <c r="G10" i="13" l="1"/>
  <c r="F102" i="17"/>
  <c r="F103" i="17"/>
  <c r="F101" i="17"/>
  <c r="G108" i="17"/>
  <c r="G107" i="17"/>
  <c r="G104" i="17"/>
  <c r="G106" i="17"/>
  <c r="G94" i="17"/>
  <c r="G90" i="17"/>
  <c r="G100" i="17"/>
  <c r="G97" i="17"/>
  <c r="G99" i="17"/>
  <c r="G96" i="17"/>
  <c r="G93" i="17"/>
  <c r="G91" i="17"/>
  <c r="H89" i="17"/>
  <c r="H50" i="13"/>
  <c r="F152" i="17"/>
  <c r="F153" i="17"/>
  <c r="F154" i="17"/>
  <c r="H140" i="17"/>
  <c r="H54" i="13"/>
  <c r="G147" i="17"/>
  <c r="G155" i="17"/>
  <c r="G157" i="17"/>
  <c r="G141" i="17"/>
  <c r="G150" i="17"/>
  <c r="G159" i="17"/>
  <c r="G142" i="17"/>
  <c r="G145" i="17"/>
  <c r="G144" i="17"/>
  <c r="G148" i="17"/>
  <c r="G151" i="17"/>
  <c r="G158" i="17"/>
  <c r="G44" i="13"/>
  <c r="H38" i="17"/>
  <c r="H46" i="13"/>
  <c r="G13" i="17"/>
  <c r="G39" i="17"/>
  <c r="G40" i="17"/>
  <c r="G45" i="17"/>
  <c r="G55" i="17"/>
  <c r="G46" i="17"/>
  <c r="G57" i="17"/>
  <c r="G42" i="17"/>
  <c r="G53" i="17"/>
  <c r="G43" i="17"/>
  <c r="G48" i="17"/>
  <c r="G49" i="17"/>
  <c r="G56" i="17"/>
  <c r="F24" i="17"/>
  <c r="F52" i="17"/>
  <c r="F51" i="17"/>
  <c r="F50" i="17"/>
  <c r="E26" i="17"/>
  <c r="E25" i="17"/>
  <c r="E27" i="17"/>
  <c r="H64" i="17"/>
  <c r="H48" i="13"/>
  <c r="G65" i="17"/>
  <c r="G69" i="17"/>
  <c r="G72" i="17"/>
  <c r="G79" i="17"/>
  <c r="G81" i="17"/>
  <c r="G83" i="17"/>
  <c r="G68" i="17"/>
  <c r="G71" i="17"/>
  <c r="G74" i="17"/>
  <c r="G75" i="17"/>
  <c r="G82" i="17"/>
  <c r="G66" i="17"/>
  <c r="F78" i="17"/>
  <c r="F77" i="17"/>
  <c r="F76" i="17"/>
  <c r="H115" i="17"/>
  <c r="H52" i="13"/>
  <c r="G134" i="17"/>
  <c r="G132" i="17"/>
  <c r="G116" i="17"/>
  <c r="G126" i="17"/>
  <c r="G117" i="17"/>
  <c r="G119" i="17"/>
  <c r="G122" i="17"/>
  <c r="G130" i="17"/>
  <c r="G133" i="17"/>
  <c r="G120" i="17"/>
  <c r="G123" i="17"/>
  <c r="G125" i="17"/>
  <c r="F128" i="17"/>
  <c r="F129" i="17"/>
  <c r="F127" i="17"/>
  <c r="F32" i="17"/>
  <c r="F32" i="20" s="1"/>
  <c r="F30" i="17"/>
  <c r="F28" i="17"/>
  <c r="F31" i="17"/>
  <c r="F31" i="20" s="1"/>
  <c r="F23" i="17"/>
  <c r="F21" i="17"/>
  <c r="F21" i="20" s="1"/>
  <c r="F20" i="17"/>
  <c r="F15" i="17"/>
  <c r="F18" i="17"/>
  <c r="F18" i="20" s="1"/>
  <c r="F17" i="17"/>
  <c r="F14" i="17"/>
  <c r="G20" i="19"/>
  <c r="G23" i="19"/>
  <c r="F27" i="19"/>
  <c r="F25" i="19"/>
  <c r="G21" i="19"/>
  <c r="G28" i="19"/>
  <c r="F26" i="19"/>
  <c r="H116" i="19"/>
  <c r="H117" i="19"/>
  <c r="H120" i="19"/>
  <c r="H123" i="19"/>
  <c r="H125" i="19"/>
  <c r="H126" i="19"/>
  <c r="H130" i="19"/>
  <c r="H132" i="19"/>
  <c r="H133" i="19"/>
  <c r="H119" i="19"/>
  <c r="H122" i="19"/>
  <c r="H134" i="19"/>
  <c r="I115" i="19"/>
  <c r="I64" i="13"/>
  <c r="G129" i="19"/>
  <c r="G128" i="19"/>
  <c r="G127" i="19"/>
  <c r="G101" i="19"/>
  <c r="G102" i="19"/>
  <c r="G103" i="19"/>
  <c r="H104" i="19"/>
  <c r="H106" i="19"/>
  <c r="H97" i="19"/>
  <c r="H91" i="19"/>
  <c r="H94" i="19"/>
  <c r="H93" i="19"/>
  <c r="H100" i="19"/>
  <c r="H107" i="19"/>
  <c r="H108" i="19"/>
  <c r="H99" i="19"/>
  <c r="H96" i="19"/>
  <c r="H90" i="19"/>
  <c r="I89" i="19"/>
  <c r="I62" i="13"/>
  <c r="H66" i="19"/>
  <c r="H68" i="19"/>
  <c r="H65" i="19"/>
  <c r="H69" i="19"/>
  <c r="H71" i="19"/>
  <c r="H72" i="19"/>
  <c r="H74" i="19"/>
  <c r="H75" i="19"/>
  <c r="H81" i="19"/>
  <c r="H82" i="19"/>
  <c r="H83" i="19"/>
  <c r="H79" i="19"/>
  <c r="I64" i="19"/>
  <c r="I60" i="13"/>
  <c r="G78" i="19"/>
  <c r="G77" i="19"/>
  <c r="G76" i="19"/>
  <c r="G24" i="19"/>
  <c r="H13" i="19"/>
  <c r="H39" i="19"/>
  <c r="H40" i="19"/>
  <c r="H45" i="19"/>
  <c r="H56" i="19"/>
  <c r="H42" i="19"/>
  <c r="H43" i="19"/>
  <c r="H49" i="19"/>
  <c r="H55" i="19"/>
  <c r="H57" i="19"/>
  <c r="H46" i="19"/>
  <c r="H48" i="19"/>
  <c r="H53" i="19"/>
  <c r="H56" i="13"/>
  <c r="I38" i="19"/>
  <c r="I58" i="13"/>
  <c r="G51" i="19"/>
  <c r="G52" i="19"/>
  <c r="G50" i="19"/>
  <c r="G52" i="15"/>
  <c r="G51" i="15"/>
  <c r="G50" i="15"/>
  <c r="H39" i="15"/>
  <c r="H45" i="15"/>
  <c r="H46" i="15"/>
  <c r="H48" i="15"/>
  <c r="H49" i="15"/>
  <c r="H53" i="15"/>
  <c r="H55" i="15"/>
  <c r="H13" i="15"/>
  <c r="H40" i="15"/>
  <c r="H42" i="15"/>
  <c r="H43" i="15"/>
  <c r="H56" i="15"/>
  <c r="H57" i="15"/>
  <c r="I38" i="15"/>
  <c r="I12" i="13"/>
  <c r="G65" i="15"/>
  <c r="G14" i="15" s="1"/>
  <c r="G66" i="15"/>
  <c r="G15" i="15" s="1"/>
  <c r="G69" i="15"/>
  <c r="G18" i="15" s="1"/>
  <c r="G74" i="15"/>
  <c r="G23" i="15" s="1"/>
  <c r="G81" i="15"/>
  <c r="G30" i="15" s="1"/>
  <c r="G83" i="15"/>
  <c r="G32" i="15" s="1"/>
  <c r="G68" i="15"/>
  <c r="G17" i="15" s="1"/>
  <c r="G71" i="15"/>
  <c r="G20" i="15" s="1"/>
  <c r="G72" i="15"/>
  <c r="G21" i="15" s="1"/>
  <c r="G75" i="15"/>
  <c r="G79" i="15"/>
  <c r="G28" i="15" s="1"/>
  <c r="G82" i="15"/>
  <c r="G31" i="15" s="1"/>
  <c r="H64" i="15"/>
  <c r="H14" i="13"/>
  <c r="F77" i="15"/>
  <c r="F26" i="15" s="1"/>
  <c r="F78" i="15"/>
  <c r="F27" i="15" s="1"/>
  <c r="F76" i="15"/>
  <c r="F25" i="15" s="1"/>
  <c r="E21" i="20"/>
  <c r="E30" i="20"/>
  <c r="E31" i="20"/>
  <c r="E32" i="20"/>
  <c r="E14" i="20"/>
  <c r="E15" i="20"/>
  <c r="E23" i="20"/>
  <c r="E24" i="20"/>
  <c r="E28" i="20"/>
  <c r="G14" i="19"/>
  <c r="G17" i="19"/>
  <c r="G18" i="19"/>
  <c r="G31" i="19"/>
  <c r="E27" i="15"/>
  <c r="G13" i="15"/>
  <c r="G13" i="20" s="1"/>
  <c r="F24" i="15"/>
  <c r="F24" i="20" s="1"/>
  <c r="F17" i="20"/>
  <c r="F28" i="20"/>
  <c r="F15" i="20"/>
  <c r="F20" i="20"/>
  <c r="F14" i="20"/>
  <c r="F23" i="20"/>
  <c r="F30" i="20"/>
  <c r="G15" i="19"/>
  <c r="G30" i="19"/>
  <c r="G32" i="19"/>
  <c r="E26" i="15"/>
  <c r="E25" i="15"/>
  <c r="I128" i="18"/>
  <c r="I129" i="18"/>
  <c r="I127" i="18"/>
  <c r="J123" i="18"/>
  <c r="J134" i="18"/>
  <c r="J125" i="18"/>
  <c r="J126" i="18"/>
  <c r="J132" i="18"/>
  <c r="J117" i="18"/>
  <c r="J120" i="18"/>
  <c r="J130" i="18"/>
  <c r="J133" i="18"/>
  <c r="J116" i="18"/>
  <c r="J119" i="18"/>
  <c r="J122" i="18"/>
  <c r="K115" i="18"/>
  <c r="I103" i="18"/>
  <c r="I102" i="18"/>
  <c r="I101" i="18"/>
  <c r="J108" i="18"/>
  <c r="J90" i="18"/>
  <c r="J93" i="18"/>
  <c r="J94" i="18"/>
  <c r="J96" i="18"/>
  <c r="J97" i="18"/>
  <c r="J99" i="18"/>
  <c r="J100" i="18"/>
  <c r="J104" i="18"/>
  <c r="J91" i="18"/>
  <c r="J106" i="18"/>
  <c r="J107" i="18"/>
  <c r="J13" i="18"/>
  <c r="J34" i="13"/>
  <c r="K89" i="18"/>
  <c r="H10" i="13" l="1"/>
  <c r="G24" i="15"/>
  <c r="G101" i="17"/>
  <c r="G102" i="17"/>
  <c r="G103" i="17"/>
  <c r="H108" i="17"/>
  <c r="H106" i="17"/>
  <c r="H107" i="17"/>
  <c r="H104" i="17"/>
  <c r="H99" i="17"/>
  <c r="H97" i="17"/>
  <c r="H96" i="17"/>
  <c r="H94" i="17"/>
  <c r="H93" i="17"/>
  <c r="H91" i="17"/>
  <c r="H90" i="17"/>
  <c r="H100" i="17"/>
  <c r="I89" i="17"/>
  <c r="I50" i="13"/>
  <c r="H145" i="17"/>
  <c r="H150" i="17"/>
  <c r="H158" i="17"/>
  <c r="H142" i="17"/>
  <c r="H148" i="17"/>
  <c r="H155" i="17"/>
  <c r="H157" i="17"/>
  <c r="H141" i="17"/>
  <c r="H159" i="17"/>
  <c r="H144" i="17"/>
  <c r="H147" i="17"/>
  <c r="H151" i="17"/>
  <c r="I140" i="17"/>
  <c r="I54" i="13"/>
  <c r="G154" i="17"/>
  <c r="G152" i="17"/>
  <c r="G153" i="17"/>
  <c r="H13" i="17"/>
  <c r="H43" i="17"/>
  <c r="H49" i="17"/>
  <c r="H56" i="17"/>
  <c r="H42" i="17"/>
  <c r="H45" i="17"/>
  <c r="H53" i="17"/>
  <c r="H55" i="17"/>
  <c r="H48" i="17"/>
  <c r="H57" i="17"/>
  <c r="H39" i="17"/>
  <c r="H46" i="17"/>
  <c r="H40" i="17"/>
  <c r="H44" i="13"/>
  <c r="I38" i="17"/>
  <c r="I46" i="13"/>
  <c r="G24" i="17"/>
  <c r="G50" i="17"/>
  <c r="G52" i="17"/>
  <c r="G51" i="17"/>
  <c r="H81" i="17"/>
  <c r="H83" i="17"/>
  <c r="H68" i="17"/>
  <c r="H65" i="17"/>
  <c r="H71" i="17"/>
  <c r="H74" i="17"/>
  <c r="H75" i="17"/>
  <c r="H82" i="17"/>
  <c r="H66" i="17"/>
  <c r="H69" i="17"/>
  <c r="H72" i="17"/>
  <c r="H79" i="17"/>
  <c r="I64" i="17"/>
  <c r="I48" i="13"/>
  <c r="G77" i="17"/>
  <c r="G78" i="17"/>
  <c r="G76" i="17"/>
  <c r="H125" i="17"/>
  <c r="H126" i="17"/>
  <c r="H116" i="17"/>
  <c r="H120" i="17"/>
  <c r="H117" i="17"/>
  <c r="H123" i="17"/>
  <c r="H133" i="17"/>
  <c r="H130" i="17"/>
  <c r="H119" i="17"/>
  <c r="H134" i="17"/>
  <c r="H122" i="17"/>
  <c r="H132" i="17"/>
  <c r="I115" i="17"/>
  <c r="I52" i="13"/>
  <c r="G128" i="17"/>
  <c r="G129" i="17"/>
  <c r="G127" i="17"/>
  <c r="F26" i="17"/>
  <c r="F26" i="20" s="1"/>
  <c r="F27" i="17"/>
  <c r="F27" i="20" s="1"/>
  <c r="F25" i="17"/>
  <c r="F25" i="20" s="1"/>
  <c r="G32" i="17"/>
  <c r="G31" i="17"/>
  <c r="G28" i="17"/>
  <c r="G28" i="20" s="1"/>
  <c r="G30" i="17"/>
  <c r="G18" i="17"/>
  <c r="G14" i="17"/>
  <c r="G21" i="17"/>
  <c r="G21" i="20" s="1"/>
  <c r="G23" i="17"/>
  <c r="G23" i="20" s="1"/>
  <c r="G20" i="17"/>
  <c r="G20" i="20" s="1"/>
  <c r="G17" i="17"/>
  <c r="G15" i="17"/>
  <c r="G27" i="19"/>
  <c r="G26" i="19"/>
  <c r="G25" i="19"/>
  <c r="H129" i="19"/>
  <c r="H128" i="19"/>
  <c r="H127" i="19"/>
  <c r="I119" i="19"/>
  <c r="I122" i="19"/>
  <c r="I126" i="19"/>
  <c r="I134" i="19"/>
  <c r="I116" i="19"/>
  <c r="I117" i="19"/>
  <c r="I120" i="19"/>
  <c r="I123" i="19"/>
  <c r="I125" i="19"/>
  <c r="I130" i="19"/>
  <c r="I132" i="19"/>
  <c r="I133" i="19"/>
  <c r="J115" i="19"/>
  <c r="J64" i="13"/>
  <c r="H102" i="19"/>
  <c r="H101" i="19"/>
  <c r="H103" i="19"/>
  <c r="I90" i="19"/>
  <c r="I97" i="19"/>
  <c r="I100" i="19"/>
  <c r="I104" i="19"/>
  <c r="I94" i="19"/>
  <c r="I106" i="19"/>
  <c r="I91" i="19"/>
  <c r="I99" i="19"/>
  <c r="I108" i="19"/>
  <c r="I93" i="19"/>
  <c r="I107" i="19"/>
  <c r="I96" i="19"/>
  <c r="J89" i="19"/>
  <c r="J62" i="13"/>
  <c r="H78" i="19"/>
  <c r="H77" i="19"/>
  <c r="H76" i="19"/>
  <c r="H24" i="19"/>
  <c r="I65" i="19"/>
  <c r="I66" i="19"/>
  <c r="I68" i="19"/>
  <c r="I69" i="19"/>
  <c r="I71" i="19"/>
  <c r="I72" i="19"/>
  <c r="I74" i="19"/>
  <c r="I75" i="19"/>
  <c r="I79" i="19"/>
  <c r="I81" i="19"/>
  <c r="I82" i="19"/>
  <c r="I83" i="19"/>
  <c r="J64" i="19"/>
  <c r="J60" i="13"/>
  <c r="H50" i="19"/>
  <c r="H51" i="19"/>
  <c r="H52" i="19"/>
  <c r="I13" i="19"/>
  <c r="I39" i="19"/>
  <c r="I40" i="19"/>
  <c r="I46" i="19"/>
  <c r="I48" i="19"/>
  <c r="I53" i="19"/>
  <c r="I42" i="19"/>
  <c r="I45" i="19"/>
  <c r="I49" i="19"/>
  <c r="I55" i="19"/>
  <c r="I56" i="19"/>
  <c r="I57" i="19"/>
  <c r="I43" i="19"/>
  <c r="I56" i="13"/>
  <c r="J38" i="19"/>
  <c r="J58" i="13"/>
  <c r="H52" i="15"/>
  <c r="H51" i="15"/>
  <c r="H50" i="15"/>
  <c r="I40" i="15"/>
  <c r="I42" i="15"/>
  <c r="I48" i="15"/>
  <c r="I56" i="15"/>
  <c r="I57" i="15"/>
  <c r="I13" i="15"/>
  <c r="I39" i="15"/>
  <c r="I43" i="15"/>
  <c r="I45" i="15"/>
  <c r="I46" i="15"/>
  <c r="I49" i="15"/>
  <c r="I53" i="15"/>
  <c r="I55" i="15"/>
  <c r="I10" i="13"/>
  <c r="J38" i="15"/>
  <c r="J12" i="13"/>
  <c r="G78" i="15"/>
  <c r="G27" i="15" s="1"/>
  <c r="G77" i="15"/>
  <c r="G26" i="15" s="1"/>
  <c r="G76" i="15"/>
  <c r="G25" i="15" s="1"/>
  <c r="H71" i="15"/>
  <c r="H20" i="15" s="1"/>
  <c r="H75" i="15"/>
  <c r="H79" i="15"/>
  <c r="H28" i="15" s="1"/>
  <c r="H82" i="15"/>
  <c r="H31" i="15" s="1"/>
  <c r="H83" i="15"/>
  <c r="H32" i="15" s="1"/>
  <c r="H72" i="15"/>
  <c r="H21" i="15" s="1"/>
  <c r="H74" i="15"/>
  <c r="H23" i="15" s="1"/>
  <c r="H81" i="15"/>
  <c r="H30" i="15" s="1"/>
  <c r="H65" i="15"/>
  <c r="H14" i="15" s="1"/>
  <c r="H66" i="15"/>
  <c r="H15" i="15" s="1"/>
  <c r="H68" i="15"/>
  <c r="H17" i="15" s="1"/>
  <c r="H69" i="15"/>
  <c r="H18" i="15" s="1"/>
  <c r="I64" i="15"/>
  <c r="I14" i="13"/>
  <c r="E27" i="20"/>
  <c r="E26" i="20"/>
  <c r="E25" i="20"/>
  <c r="H15" i="19"/>
  <c r="H17" i="19"/>
  <c r="H14" i="19"/>
  <c r="H18" i="19"/>
  <c r="H20" i="19"/>
  <c r="H21" i="19"/>
  <c r="H23" i="19"/>
  <c r="H30" i="19"/>
  <c r="H31" i="19"/>
  <c r="H32" i="19"/>
  <c r="H28" i="19"/>
  <c r="G15" i="20"/>
  <c r="G32" i="20"/>
  <c r="G24" i="20"/>
  <c r="H13" i="20"/>
  <c r="G14" i="20"/>
  <c r="G18" i="20"/>
  <c r="G30" i="20"/>
  <c r="G17" i="20"/>
  <c r="G31" i="20"/>
  <c r="J128" i="18"/>
  <c r="J129" i="18"/>
  <c r="J127" i="18"/>
  <c r="K116" i="18"/>
  <c r="K117" i="18"/>
  <c r="K122" i="18"/>
  <c r="K130" i="18"/>
  <c r="K133" i="18"/>
  <c r="K119" i="18"/>
  <c r="K132" i="18"/>
  <c r="K134" i="18"/>
  <c r="K120" i="18"/>
  <c r="K123" i="18"/>
  <c r="K125" i="18"/>
  <c r="K126" i="18"/>
  <c r="L115" i="18"/>
  <c r="J103" i="18"/>
  <c r="J102" i="18"/>
  <c r="J101" i="18"/>
  <c r="K91" i="18"/>
  <c r="K106" i="18"/>
  <c r="K108" i="18"/>
  <c r="K93" i="18"/>
  <c r="K94" i="18"/>
  <c r="K96" i="18"/>
  <c r="K97" i="18"/>
  <c r="K99" i="18"/>
  <c r="K100" i="18"/>
  <c r="K104" i="18"/>
  <c r="K90" i="18"/>
  <c r="K107" i="18"/>
  <c r="K13" i="18"/>
  <c r="L89" i="18"/>
  <c r="K34" i="13"/>
  <c r="H102" i="17" l="1"/>
  <c r="H103" i="17"/>
  <c r="H101" i="17"/>
  <c r="I108" i="17"/>
  <c r="I106" i="17"/>
  <c r="I90" i="17"/>
  <c r="I96" i="17"/>
  <c r="I99" i="17"/>
  <c r="I94" i="17"/>
  <c r="I104" i="17"/>
  <c r="I107" i="17"/>
  <c r="I100" i="17"/>
  <c r="I93" i="17"/>
  <c r="I97" i="17"/>
  <c r="I91" i="17"/>
  <c r="J89" i="17"/>
  <c r="J50" i="13"/>
  <c r="H153" i="17"/>
  <c r="H152" i="17"/>
  <c r="H154" i="17"/>
  <c r="I141" i="17"/>
  <c r="I145" i="17"/>
  <c r="I151" i="17"/>
  <c r="I158" i="17"/>
  <c r="I147" i="17"/>
  <c r="I150" i="17"/>
  <c r="I144" i="17"/>
  <c r="I142" i="17"/>
  <c r="I148" i="17"/>
  <c r="I155" i="17"/>
  <c r="I157" i="17"/>
  <c r="I159" i="17"/>
  <c r="J140" i="17"/>
  <c r="J54" i="13"/>
  <c r="H24" i="17"/>
  <c r="H51" i="17"/>
  <c r="H52" i="17"/>
  <c r="H50" i="17"/>
  <c r="I13" i="17"/>
  <c r="I13" i="20" s="1"/>
  <c r="I39" i="17"/>
  <c r="I40" i="17"/>
  <c r="I43" i="17"/>
  <c r="I46" i="17"/>
  <c r="I42" i="17"/>
  <c r="I57" i="17"/>
  <c r="I48" i="17"/>
  <c r="I49" i="17"/>
  <c r="I53" i="17"/>
  <c r="I55" i="17"/>
  <c r="I56" i="17"/>
  <c r="I45" i="17"/>
  <c r="I44" i="13"/>
  <c r="J38" i="17"/>
  <c r="J46" i="13"/>
  <c r="H78" i="17"/>
  <c r="H76" i="17"/>
  <c r="H77" i="17"/>
  <c r="I82" i="17"/>
  <c r="I66" i="17"/>
  <c r="I74" i="17"/>
  <c r="I79" i="17"/>
  <c r="I81" i="17"/>
  <c r="I83" i="17"/>
  <c r="I65" i="17"/>
  <c r="I68" i="17"/>
  <c r="I71" i="17"/>
  <c r="I75" i="17"/>
  <c r="I69" i="17"/>
  <c r="I72" i="17"/>
  <c r="J64" i="17"/>
  <c r="J48" i="13"/>
  <c r="H128" i="17"/>
  <c r="H129" i="17"/>
  <c r="H127" i="17"/>
  <c r="I116" i="17"/>
  <c r="I122" i="17"/>
  <c r="I126" i="17"/>
  <c r="I119" i="17"/>
  <c r="I125" i="17"/>
  <c r="I130" i="17"/>
  <c r="I120" i="17"/>
  <c r="I132" i="17"/>
  <c r="I133" i="17"/>
  <c r="I134" i="17"/>
  <c r="I117" i="17"/>
  <c r="I123" i="17"/>
  <c r="J115" i="17"/>
  <c r="J52" i="13"/>
  <c r="G25" i="17"/>
  <c r="G25" i="20" s="1"/>
  <c r="G26" i="17"/>
  <c r="G26" i="20" s="1"/>
  <c r="G27" i="17"/>
  <c r="G27" i="20" s="1"/>
  <c r="H32" i="17"/>
  <c r="H30" i="17"/>
  <c r="H31" i="17"/>
  <c r="H31" i="20" s="1"/>
  <c r="H28" i="17"/>
  <c r="H28" i="20" s="1"/>
  <c r="H23" i="17"/>
  <c r="H21" i="17"/>
  <c r="H20" i="17"/>
  <c r="H20" i="20" s="1"/>
  <c r="H18" i="17"/>
  <c r="H17" i="17"/>
  <c r="H15" i="17"/>
  <c r="H14" i="17"/>
  <c r="I129" i="19"/>
  <c r="I128" i="19"/>
  <c r="I127" i="19"/>
  <c r="J116" i="19"/>
  <c r="J117" i="19"/>
  <c r="J120" i="19"/>
  <c r="J123" i="19"/>
  <c r="J130" i="19"/>
  <c r="J132" i="19"/>
  <c r="J133" i="19"/>
  <c r="J119" i="19"/>
  <c r="J122" i="19"/>
  <c r="J125" i="19"/>
  <c r="J126" i="19"/>
  <c r="J134" i="19"/>
  <c r="K115" i="19"/>
  <c r="K64" i="13"/>
  <c r="I101" i="19"/>
  <c r="I102" i="19"/>
  <c r="I103" i="19"/>
  <c r="J107" i="19"/>
  <c r="J94" i="19"/>
  <c r="J99" i="19"/>
  <c r="J108" i="19"/>
  <c r="J104" i="19"/>
  <c r="J93" i="19"/>
  <c r="J97" i="19"/>
  <c r="J91" i="19"/>
  <c r="J100" i="19"/>
  <c r="J106" i="19"/>
  <c r="J96" i="19"/>
  <c r="J90" i="19"/>
  <c r="K89" i="19"/>
  <c r="K62" i="13"/>
  <c r="I78" i="19"/>
  <c r="I77" i="19"/>
  <c r="I76" i="19"/>
  <c r="I24" i="19"/>
  <c r="J66" i="19"/>
  <c r="J65" i="19"/>
  <c r="J68" i="19"/>
  <c r="J17" i="19" s="1"/>
  <c r="J69" i="19"/>
  <c r="J71" i="19"/>
  <c r="J72" i="19"/>
  <c r="J21" i="19" s="1"/>
  <c r="J74" i="19"/>
  <c r="J75" i="19"/>
  <c r="J81" i="19"/>
  <c r="J82" i="19"/>
  <c r="J79" i="19"/>
  <c r="J83" i="19"/>
  <c r="K64" i="19"/>
  <c r="K60" i="13"/>
  <c r="I51" i="19"/>
  <c r="I50" i="19"/>
  <c r="I52" i="19"/>
  <c r="J13" i="19"/>
  <c r="J39" i="19"/>
  <c r="J40" i="19"/>
  <c r="J43" i="19"/>
  <c r="J45" i="19"/>
  <c r="J48" i="19"/>
  <c r="J53" i="19"/>
  <c r="J42" i="19"/>
  <c r="J55" i="19"/>
  <c r="J57" i="19"/>
  <c r="J46" i="19"/>
  <c r="J49" i="19"/>
  <c r="J56" i="19"/>
  <c r="J56" i="13"/>
  <c r="K38" i="19"/>
  <c r="K58" i="13"/>
  <c r="I52" i="15"/>
  <c r="I51" i="15"/>
  <c r="I50" i="15"/>
  <c r="J39" i="15"/>
  <c r="J42" i="15"/>
  <c r="J43" i="15"/>
  <c r="J46" i="15"/>
  <c r="J49" i="15"/>
  <c r="J53" i="15"/>
  <c r="J55" i="15"/>
  <c r="J40" i="15"/>
  <c r="J45" i="15"/>
  <c r="J48" i="15"/>
  <c r="J56" i="15"/>
  <c r="J57" i="15"/>
  <c r="K38" i="15"/>
  <c r="K12" i="13"/>
  <c r="H78" i="15"/>
  <c r="H27" i="15" s="1"/>
  <c r="H77" i="15"/>
  <c r="H26" i="15" s="1"/>
  <c r="H76" i="15"/>
  <c r="H25" i="15" s="1"/>
  <c r="I68" i="15"/>
  <c r="I17" i="15" s="1"/>
  <c r="I72" i="15"/>
  <c r="I21" i="15" s="1"/>
  <c r="I74" i="15"/>
  <c r="I23" i="15" s="1"/>
  <c r="I81" i="15"/>
  <c r="I30" i="15" s="1"/>
  <c r="I65" i="15"/>
  <c r="I14" i="15" s="1"/>
  <c r="I66" i="15"/>
  <c r="I15" i="15" s="1"/>
  <c r="I69" i="15"/>
  <c r="I18" i="15" s="1"/>
  <c r="I71" i="15"/>
  <c r="I20" i="15" s="1"/>
  <c r="I75" i="15"/>
  <c r="I79" i="15"/>
  <c r="I28" i="15" s="1"/>
  <c r="I82" i="15"/>
  <c r="I31" i="15" s="1"/>
  <c r="I83" i="15"/>
  <c r="I32" i="15" s="1"/>
  <c r="J64" i="15"/>
  <c r="J14" i="13"/>
  <c r="H27" i="19"/>
  <c r="H26" i="19"/>
  <c r="H25" i="19"/>
  <c r="I14" i="19"/>
  <c r="I15" i="19"/>
  <c r="I17" i="19"/>
  <c r="I18" i="19"/>
  <c r="I20" i="19"/>
  <c r="I21" i="19"/>
  <c r="I23" i="19"/>
  <c r="I28" i="19"/>
  <c r="I30" i="19"/>
  <c r="I31" i="19"/>
  <c r="I32" i="19"/>
  <c r="H24" i="15"/>
  <c r="H24" i="20" s="1"/>
  <c r="H32" i="20"/>
  <c r="H21" i="20"/>
  <c r="H23" i="20"/>
  <c r="H30" i="20"/>
  <c r="H14" i="20"/>
  <c r="H15" i="20"/>
  <c r="H17" i="20"/>
  <c r="H18" i="20"/>
  <c r="K129" i="18"/>
  <c r="K128" i="18"/>
  <c r="K127" i="18"/>
  <c r="L119" i="18"/>
  <c r="L123" i="18"/>
  <c r="L134" i="18"/>
  <c r="L126" i="18"/>
  <c r="L122" i="18"/>
  <c r="L125" i="18"/>
  <c r="L132" i="18"/>
  <c r="L120" i="18"/>
  <c r="L130" i="18"/>
  <c r="L133" i="18"/>
  <c r="L116" i="18"/>
  <c r="L117" i="18"/>
  <c r="M115" i="18"/>
  <c r="K103" i="18"/>
  <c r="K102" i="18"/>
  <c r="K101" i="18"/>
  <c r="L106" i="18"/>
  <c r="L91" i="18"/>
  <c r="L93" i="18"/>
  <c r="L94" i="18"/>
  <c r="L96" i="18"/>
  <c r="L97" i="18"/>
  <c r="L99" i="18"/>
  <c r="L100" i="18"/>
  <c r="L104" i="18"/>
  <c r="L90" i="18"/>
  <c r="L107" i="18"/>
  <c r="L108" i="18"/>
  <c r="L13" i="18"/>
  <c r="L34" i="13"/>
  <c r="M89" i="18"/>
  <c r="I101" i="17" l="1"/>
  <c r="I103" i="17"/>
  <c r="I102" i="17"/>
  <c r="J107" i="17"/>
  <c r="J104" i="17"/>
  <c r="J96" i="17"/>
  <c r="J94" i="17"/>
  <c r="J93" i="17"/>
  <c r="J90" i="17"/>
  <c r="J100" i="17"/>
  <c r="J108" i="17"/>
  <c r="J106" i="17"/>
  <c r="J97" i="17"/>
  <c r="J99" i="17"/>
  <c r="J91" i="17"/>
  <c r="K89" i="17"/>
  <c r="K50" i="13"/>
  <c r="I153" i="17"/>
  <c r="I154" i="17"/>
  <c r="I152" i="17"/>
  <c r="J148" i="17"/>
  <c r="J159" i="17"/>
  <c r="J144" i="17"/>
  <c r="J158" i="17"/>
  <c r="J142" i="17"/>
  <c r="J147" i="17"/>
  <c r="J155" i="17"/>
  <c r="J157" i="17"/>
  <c r="J141" i="17"/>
  <c r="J150" i="17"/>
  <c r="J145" i="17"/>
  <c r="J151" i="17"/>
  <c r="K140" i="17"/>
  <c r="K54" i="13"/>
  <c r="I24" i="17"/>
  <c r="I51" i="17"/>
  <c r="I52" i="17"/>
  <c r="I50" i="17"/>
  <c r="J13" i="17"/>
  <c r="J45" i="17"/>
  <c r="J53" i="17"/>
  <c r="J55" i="17"/>
  <c r="J43" i="17"/>
  <c r="J56" i="17"/>
  <c r="J39" i="17"/>
  <c r="J48" i="17"/>
  <c r="J40" i="17"/>
  <c r="J49" i="17"/>
  <c r="J42" i="17"/>
  <c r="J46" i="17"/>
  <c r="J57" i="17"/>
  <c r="J44" i="13"/>
  <c r="K38" i="17"/>
  <c r="K46" i="13"/>
  <c r="I76" i="17"/>
  <c r="I77" i="17"/>
  <c r="I78" i="17"/>
  <c r="J81" i="17"/>
  <c r="J75" i="17"/>
  <c r="J79" i="17"/>
  <c r="J82" i="17"/>
  <c r="J66" i="17"/>
  <c r="J69" i="17"/>
  <c r="J72" i="17"/>
  <c r="J74" i="17"/>
  <c r="J83" i="17"/>
  <c r="J65" i="17"/>
  <c r="J68" i="17"/>
  <c r="J71" i="17"/>
  <c r="K64" i="17"/>
  <c r="K48" i="13"/>
  <c r="I128" i="17"/>
  <c r="I129" i="17"/>
  <c r="I127" i="17"/>
  <c r="J119" i="17"/>
  <c r="J125" i="17"/>
  <c r="J132" i="17"/>
  <c r="J122" i="17"/>
  <c r="J130" i="17"/>
  <c r="J134" i="17"/>
  <c r="J120" i="17"/>
  <c r="J117" i="17"/>
  <c r="J116" i="17"/>
  <c r="J123" i="17"/>
  <c r="J126" i="17"/>
  <c r="J133" i="17"/>
  <c r="K115" i="17"/>
  <c r="K52" i="13"/>
  <c r="H26" i="17"/>
  <c r="H27" i="17"/>
  <c r="H25" i="17"/>
  <c r="I32" i="17"/>
  <c r="I30" i="17"/>
  <c r="I14" i="17"/>
  <c r="I20" i="17"/>
  <c r="I23" i="17"/>
  <c r="I18" i="17"/>
  <c r="I28" i="17"/>
  <c r="I31" i="17"/>
  <c r="I17" i="17"/>
  <c r="I21" i="17"/>
  <c r="I15" i="17"/>
  <c r="J30" i="19"/>
  <c r="J31" i="19"/>
  <c r="J32" i="19"/>
  <c r="J129" i="19"/>
  <c r="J128" i="19"/>
  <c r="J127" i="19"/>
  <c r="K119" i="19"/>
  <c r="K122" i="19"/>
  <c r="K125" i="19"/>
  <c r="K126" i="19"/>
  <c r="K134" i="19"/>
  <c r="K116" i="19"/>
  <c r="K117" i="19"/>
  <c r="K120" i="19"/>
  <c r="K123" i="19"/>
  <c r="K130" i="19"/>
  <c r="K132" i="19"/>
  <c r="K133" i="19"/>
  <c r="L115" i="19"/>
  <c r="L64" i="13"/>
  <c r="J102" i="19"/>
  <c r="J103" i="19"/>
  <c r="J101" i="19"/>
  <c r="K107" i="19"/>
  <c r="K100" i="19"/>
  <c r="K91" i="19"/>
  <c r="K90" i="19"/>
  <c r="K108" i="19"/>
  <c r="K106" i="19"/>
  <c r="K104" i="19"/>
  <c r="K99" i="19"/>
  <c r="K97" i="19"/>
  <c r="K96" i="19"/>
  <c r="K94" i="19"/>
  <c r="K93" i="19"/>
  <c r="L89" i="19"/>
  <c r="L62" i="13"/>
  <c r="J78" i="19"/>
  <c r="J77" i="19"/>
  <c r="J76" i="19"/>
  <c r="J24" i="19"/>
  <c r="K65" i="19"/>
  <c r="K66" i="19"/>
  <c r="K68" i="19"/>
  <c r="K69" i="19"/>
  <c r="K71" i="19"/>
  <c r="K72" i="19"/>
  <c r="K74" i="19"/>
  <c r="K75" i="19"/>
  <c r="K79" i="19"/>
  <c r="K83" i="19"/>
  <c r="K81" i="19"/>
  <c r="K82" i="19"/>
  <c r="L64" i="19"/>
  <c r="L60" i="13"/>
  <c r="J52" i="19"/>
  <c r="J50" i="19"/>
  <c r="J51" i="19"/>
  <c r="K13" i="19"/>
  <c r="K39" i="19"/>
  <c r="K40" i="19"/>
  <c r="K43" i="19"/>
  <c r="K45" i="19"/>
  <c r="K53" i="19"/>
  <c r="K57" i="19"/>
  <c r="K42" i="19"/>
  <c r="K46" i="19"/>
  <c r="K48" i="19"/>
  <c r="K49" i="19"/>
  <c r="K55" i="19"/>
  <c r="K56" i="19"/>
  <c r="K56" i="13"/>
  <c r="L38" i="19"/>
  <c r="L58" i="13"/>
  <c r="J52" i="15"/>
  <c r="J51" i="15"/>
  <c r="J50" i="15"/>
  <c r="K39" i="15"/>
  <c r="K40" i="15"/>
  <c r="K43" i="15"/>
  <c r="K45" i="15"/>
  <c r="K48" i="15"/>
  <c r="K53" i="15"/>
  <c r="K56" i="15"/>
  <c r="K57" i="15"/>
  <c r="K13" i="15"/>
  <c r="K42" i="15"/>
  <c r="K46" i="15"/>
  <c r="K49" i="15"/>
  <c r="K55" i="15"/>
  <c r="K10" i="13"/>
  <c r="L38" i="15"/>
  <c r="L12" i="13"/>
  <c r="I76" i="15"/>
  <c r="I25" i="15" s="1"/>
  <c r="I77" i="15"/>
  <c r="I26" i="15" s="1"/>
  <c r="I78" i="15"/>
  <c r="I27" i="15" s="1"/>
  <c r="J65" i="15"/>
  <c r="J14" i="15" s="1"/>
  <c r="J66" i="15"/>
  <c r="J15" i="15" s="1"/>
  <c r="J69" i="15"/>
  <c r="J18" i="15" s="1"/>
  <c r="J75" i="15"/>
  <c r="J68" i="15"/>
  <c r="J17" i="15" s="1"/>
  <c r="J83" i="15"/>
  <c r="J32" i="15" s="1"/>
  <c r="J71" i="15"/>
  <c r="J20" i="15" s="1"/>
  <c r="J72" i="15"/>
  <c r="J21" i="15" s="1"/>
  <c r="J74" i="15"/>
  <c r="J23" i="15" s="1"/>
  <c r="J79" i="15"/>
  <c r="J28" i="15" s="1"/>
  <c r="J81" i="15"/>
  <c r="J30" i="15" s="1"/>
  <c r="J82" i="15"/>
  <c r="J31" i="15" s="1"/>
  <c r="K64" i="15"/>
  <c r="K14" i="13"/>
  <c r="I27" i="19"/>
  <c r="I26" i="19"/>
  <c r="I25" i="19"/>
  <c r="J15" i="19"/>
  <c r="J14" i="19"/>
  <c r="J18" i="19"/>
  <c r="J20" i="19"/>
  <c r="J23" i="19"/>
  <c r="J28" i="19"/>
  <c r="H26" i="20"/>
  <c r="H25" i="20"/>
  <c r="I21" i="20"/>
  <c r="I24" i="15"/>
  <c r="J13" i="15"/>
  <c r="J10" i="13"/>
  <c r="H27" i="20"/>
  <c r="I17" i="20"/>
  <c r="I23" i="20"/>
  <c r="I30" i="20"/>
  <c r="I14" i="20"/>
  <c r="I15" i="20"/>
  <c r="I18" i="20"/>
  <c r="I20" i="20"/>
  <c r="I28" i="20"/>
  <c r="I31" i="20"/>
  <c r="I32" i="20"/>
  <c r="L128" i="18"/>
  <c r="L127" i="18"/>
  <c r="L129" i="18"/>
  <c r="M116" i="18"/>
  <c r="M117" i="18"/>
  <c r="M122" i="18"/>
  <c r="M125" i="18"/>
  <c r="M126" i="18"/>
  <c r="M130" i="18"/>
  <c r="M119" i="18"/>
  <c r="M133" i="18"/>
  <c r="M132" i="18"/>
  <c r="M134" i="18"/>
  <c r="M120" i="18"/>
  <c r="M123" i="18"/>
  <c r="N115" i="18"/>
  <c r="L103" i="18"/>
  <c r="L102" i="18"/>
  <c r="L101" i="18"/>
  <c r="M90" i="18"/>
  <c r="M106" i="18"/>
  <c r="M91" i="18"/>
  <c r="M93" i="18"/>
  <c r="M94" i="18"/>
  <c r="M96" i="18"/>
  <c r="M97" i="18"/>
  <c r="M99" i="18"/>
  <c r="M100" i="18"/>
  <c r="M104" i="18"/>
  <c r="M107" i="18"/>
  <c r="M108" i="18"/>
  <c r="M13" i="18"/>
  <c r="M34" i="13"/>
  <c r="N89" i="18"/>
  <c r="J103" i="17" l="1"/>
  <c r="J102" i="17"/>
  <c r="J101" i="17"/>
  <c r="K108" i="17"/>
  <c r="K107" i="17"/>
  <c r="K93" i="17"/>
  <c r="K97" i="17"/>
  <c r="K91" i="17"/>
  <c r="K94" i="17"/>
  <c r="K100" i="17"/>
  <c r="K106" i="17"/>
  <c r="K104" i="17"/>
  <c r="K96" i="17"/>
  <c r="K90" i="17"/>
  <c r="K99" i="17"/>
  <c r="L89" i="17"/>
  <c r="L50" i="13"/>
  <c r="J153" i="17"/>
  <c r="J154" i="17"/>
  <c r="J152" i="17"/>
  <c r="K145" i="17"/>
  <c r="K151" i="17"/>
  <c r="K159" i="17"/>
  <c r="K144" i="17"/>
  <c r="K147" i="17"/>
  <c r="K157" i="17"/>
  <c r="K150" i="17"/>
  <c r="K158" i="17"/>
  <c r="K142" i="17"/>
  <c r="K148" i="17"/>
  <c r="K155" i="17"/>
  <c r="K141" i="17"/>
  <c r="L140" i="17"/>
  <c r="L54" i="13"/>
  <c r="J24" i="17"/>
  <c r="J50" i="17"/>
  <c r="J52" i="17"/>
  <c r="J51" i="17"/>
  <c r="K13" i="17"/>
  <c r="K13" i="20" s="1"/>
  <c r="K43" i="17"/>
  <c r="K39" i="17"/>
  <c r="K46" i="17"/>
  <c r="K40" i="17"/>
  <c r="K42" i="17"/>
  <c r="K45" i="17"/>
  <c r="K49" i="17"/>
  <c r="K55" i="17"/>
  <c r="K56" i="17"/>
  <c r="K57" i="17"/>
  <c r="K48" i="17"/>
  <c r="K53" i="17"/>
  <c r="K44" i="13"/>
  <c r="L38" i="17"/>
  <c r="L46" i="13"/>
  <c r="J77" i="17"/>
  <c r="J76" i="17"/>
  <c r="J78" i="17"/>
  <c r="K79" i="17"/>
  <c r="K83" i="17"/>
  <c r="K72" i="17"/>
  <c r="K74" i="17"/>
  <c r="K81" i="17"/>
  <c r="K65" i="17"/>
  <c r="K68" i="17"/>
  <c r="K71" i="17"/>
  <c r="K75" i="17"/>
  <c r="K82" i="17"/>
  <c r="K66" i="17"/>
  <c r="K69" i="17"/>
  <c r="L64" i="17"/>
  <c r="L48" i="13"/>
  <c r="J129" i="17"/>
  <c r="J127" i="17"/>
  <c r="J128" i="17"/>
  <c r="K120" i="17"/>
  <c r="K134" i="17"/>
  <c r="K119" i="17"/>
  <c r="K133" i="17"/>
  <c r="K122" i="17"/>
  <c r="K123" i="17"/>
  <c r="K126" i="17"/>
  <c r="K116" i="17"/>
  <c r="K125" i="17"/>
  <c r="K132" i="17"/>
  <c r="K117" i="17"/>
  <c r="K130" i="17"/>
  <c r="L115" i="17"/>
  <c r="L52" i="13"/>
  <c r="I25" i="17"/>
  <c r="I25" i="20" s="1"/>
  <c r="I27" i="17"/>
  <c r="I27" i="20" s="1"/>
  <c r="I26" i="17"/>
  <c r="I26" i="20" s="1"/>
  <c r="J31" i="17"/>
  <c r="J31" i="20" s="1"/>
  <c r="J28" i="17"/>
  <c r="J20" i="17"/>
  <c r="J18" i="17"/>
  <c r="J18" i="20" s="1"/>
  <c r="J17" i="17"/>
  <c r="J17" i="20" s="1"/>
  <c r="J14" i="17"/>
  <c r="J14" i="20" s="1"/>
  <c r="J32" i="17"/>
  <c r="J32" i="20" s="1"/>
  <c r="J30" i="17"/>
  <c r="J30" i="20" s="1"/>
  <c r="J21" i="17"/>
  <c r="J21" i="20" s="1"/>
  <c r="J23" i="17"/>
  <c r="J15" i="17"/>
  <c r="J15" i="20" s="1"/>
  <c r="I24" i="20"/>
  <c r="K14" i="19"/>
  <c r="J13" i="20"/>
  <c r="K129" i="19"/>
  <c r="K128" i="19"/>
  <c r="K127" i="19"/>
  <c r="L117" i="19"/>
  <c r="L119" i="19"/>
  <c r="L120" i="19"/>
  <c r="L123" i="19"/>
  <c r="L126" i="19"/>
  <c r="L130" i="19"/>
  <c r="L132" i="19"/>
  <c r="L133" i="19"/>
  <c r="L134" i="19"/>
  <c r="L116" i="19"/>
  <c r="L122" i="19"/>
  <c r="L125" i="19"/>
  <c r="M115" i="19"/>
  <c r="M64" i="13"/>
  <c r="K101" i="19"/>
  <c r="K103" i="19"/>
  <c r="K102" i="19"/>
  <c r="L108" i="19"/>
  <c r="L93" i="19"/>
  <c r="L107" i="19"/>
  <c r="L104" i="19"/>
  <c r="L97" i="19"/>
  <c r="L94" i="19"/>
  <c r="L100" i="19"/>
  <c r="L91" i="19"/>
  <c r="L106" i="19"/>
  <c r="L99" i="19"/>
  <c r="L96" i="19"/>
  <c r="L90" i="19"/>
  <c r="M89" i="19"/>
  <c r="M62" i="13"/>
  <c r="K78" i="19"/>
  <c r="K77" i="19"/>
  <c r="K76" i="19"/>
  <c r="K24" i="19"/>
  <c r="L65" i="19"/>
  <c r="L66" i="19"/>
  <c r="L68" i="19"/>
  <c r="L69" i="19"/>
  <c r="L71" i="19"/>
  <c r="L72" i="19"/>
  <c r="L74" i="19"/>
  <c r="L75" i="19"/>
  <c r="L81" i="19"/>
  <c r="L82" i="19"/>
  <c r="L79" i="19"/>
  <c r="L83" i="19"/>
  <c r="M64" i="19"/>
  <c r="M60" i="13"/>
  <c r="K50" i="19"/>
  <c r="K51" i="19"/>
  <c r="K52" i="19"/>
  <c r="L13" i="19"/>
  <c r="L39" i="19"/>
  <c r="L40" i="19"/>
  <c r="L43" i="19"/>
  <c r="L45" i="19"/>
  <c r="L53" i="19"/>
  <c r="L56" i="19"/>
  <c r="L57" i="19"/>
  <c r="L55" i="19"/>
  <c r="L42" i="19"/>
  <c r="L46" i="19"/>
  <c r="L48" i="19"/>
  <c r="L49" i="19"/>
  <c r="L56" i="13"/>
  <c r="M38" i="19"/>
  <c r="M58" i="13"/>
  <c r="K52" i="15"/>
  <c r="K51" i="15"/>
  <c r="K50" i="15"/>
  <c r="L39" i="15"/>
  <c r="L42" i="15"/>
  <c r="L46" i="15"/>
  <c r="L49" i="15"/>
  <c r="L40" i="15"/>
  <c r="L43" i="15"/>
  <c r="L45" i="15"/>
  <c r="L48" i="15"/>
  <c r="L53" i="15"/>
  <c r="L55" i="15"/>
  <c r="L56" i="15"/>
  <c r="L57" i="15"/>
  <c r="M38" i="15"/>
  <c r="M12" i="13"/>
  <c r="J76" i="15"/>
  <c r="J25" i="15" s="1"/>
  <c r="J78" i="15"/>
  <c r="J27" i="15" s="1"/>
  <c r="J77" i="15"/>
  <c r="J26" i="15" s="1"/>
  <c r="K68" i="15"/>
  <c r="K17" i="15" s="1"/>
  <c r="K71" i="15"/>
  <c r="K20" i="15" s="1"/>
  <c r="K72" i="15"/>
  <c r="K21" i="15" s="1"/>
  <c r="K74" i="15"/>
  <c r="K23" i="15" s="1"/>
  <c r="K79" i="15"/>
  <c r="K28" i="15" s="1"/>
  <c r="K81" i="15"/>
  <c r="K30" i="15" s="1"/>
  <c r="K83" i="15"/>
  <c r="K32" i="15" s="1"/>
  <c r="K82" i="15"/>
  <c r="K31" i="15" s="1"/>
  <c r="K65" i="15"/>
  <c r="K14" i="15" s="1"/>
  <c r="K66" i="15"/>
  <c r="K15" i="15" s="1"/>
  <c r="K69" i="15"/>
  <c r="K18" i="15" s="1"/>
  <c r="K75" i="15"/>
  <c r="L64" i="15"/>
  <c r="L14" i="13"/>
  <c r="J27" i="19"/>
  <c r="J26" i="19"/>
  <c r="J25" i="19"/>
  <c r="K15" i="19"/>
  <c r="K17" i="19"/>
  <c r="K18" i="19"/>
  <c r="K20" i="19"/>
  <c r="K21" i="19"/>
  <c r="K23" i="19"/>
  <c r="K28" i="19"/>
  <c r="K32" i="19"/>
  <c r="K30" i="19"/>
  <c r="K31" i="19"/>
  <c r="J24" i="15"/>
  <c r="J24" i="20" s="1"/>
  <c r="M128" i="18"/>
  <c r="M129" i="18"/>
  <c r="M127" i="18"/>
  <c r="N119" i="18"/>
  <c r="N123" i="18"/>
  <c r="N134" i="18"/>
  <c r="N120" i="18"/>
  <c r="N122" i="18"/>
  <c r="N132" i="18"/>
  <c r="N116" i="18"/>
  <c r="N126" i="18"/>
  <c r="N130" i="18"/>
  <c r="N133" i="18"/>
  <c r="N117" i="18"/>
  <c r="N125" i="18"/>
  <c r="O115" i="18"/>
  <c r="M103" i="18"/>
  <c r="M102" i="18"/>
  <c r="M101" i="18"/>
  <c r="N91" i="18"/>
  <c r="N106" i="18"/>
  <c r="N93" i="18"/>
  <c r="N90" i="18"/>
  <c r="N94" i="18"/>
  <c r="N96" i="18"/>
  <c r="N97" i="18"/>
  <c r="N99" i="18"/>
  <c r="N100" i="18"/>
  <c r="N104" i="18"/>
  <c r="N107" i="18"/>
  <c r="N108" i="18"/>
  <c r="N13" i="18"/>
  <c r="O89" i="18"/>
  <c r="N34" i="13"/>
  <c r="K101" i="17" l="1"/>
  <c r="K103" i="17"/>
  <c r="K102" i="17"/>
  <c r="L108" i="17"/>
  <c r="L104" i="17"/>
  <c r="L91" i="17"/>
  <c r="L107" i="17"/>
  <c r="L99" i="17"/>
  <c r="L97" i="17"/>
  <c r="L106" i="17"/>
  <c r="L100" i="17"/>
  <c r="L96" i="17"/>
  <c r="L94" i="17"/>
  <c r="L93" i="17"/>
  <c r="L90" i="17"/>
  <c r="M89" i="17"/>
  <c r="M50" i="13"/>
  <c r="K154" i="17"/>
  <c r="K153" i="17"/>
  <c r="K152" i="17"/>
  <c r="L141" i="17"/>
  <c r="L142" i="17"/>
  <c r="L148" i="17"/>
  <c r="L151" i="17"/>
  <c r="L155" i="17"/>
  <c r="L157" i="17"/>
  <c r="L159" i="17"/>
  <c r="L144" i="17"/>
  <c r="L145" i="17"/>
  <c r="L158" i="17"/>
  <c r="L147" i="17"/>
  <c r="L150" i="17"/>
  <c r="M140" i="17"/>
  <c r="M54" i="13"/>
  <c r="K24" i="17"/>
  <c r="K50" i="17"/>
  <c r="K51" i="17"/>
  <c r="K52" i="17"/>
  <c r="L13" i="17"/>
  <c r="L42" i="17"/>
  <c r="L45" i="17"/>
  <c r="L46" i="17"/>
  <c r="L40" i="17"/>
  <c r="L39" i="17"/>
  <c r="L48" i="17"/>
  <c r="L53" i="17"/>
  <c r="L57" i="17"/>
  <c r="L55" i="17"/>
  <c r="L56" i="17"/>
  <c r="L43" i="17"/>
  <c r="L49" i="17"/>
  <c r="L44" i="13"/>
  <c r="M38" i="17"/>
  <c r="M46" i="13"/>
  <c r="K77" i="17"/>
  <c r="K76" i="17"/>
  <c r="K78" i="17"/>
  <c r="L68" i="17"/>
  <c r="L69" i="17"/>
  <c r="L71" i="17"/>
  <c r="L75" i="17"/>
  <c r="L79" i="17"/>
  <c r="L81" i="17"/>
  <c r="L82" i="17"/>
  <c r="L66" i="17"/>
  <c r="L72" i="17"/>
  <c r="L74" i="17"/>
  <c r="L83" i="17"/>
  <c r="L65" i="17"/>
  <c r="M64" i="17"/>
  <c r="M48" i="13"/>
  <c r="K129" i="17"/>
  <c r="K127" i="17"/>
  <c r="K128" i="17"/>
  <c r="L116" i="17"/>
  <c r="L130" i="17"/>
  <c r="L117" i="17"/>
  <c r="L119" i="17"/>
  <c r="L132" i="17"/>
  <c r="L122" i="17"/>
  <c r="L133" i="17"/>
  <c r="L120" i="17"/>
  <c r="L123" i="17"/>
  <c r="L126" i="17"/>
  <c r="L134" i="17"/>
  <c r="L125" i="17"/>
  <c r="M115" i="17"/>
  <c r="M52" i="13"/>
  <c r="J27" i="17"/>
  <c r="J26" i="17"/>
  <c r="J25" i="17"/>
  <c r="K32" i="17"/>
  <c r="K31" i="17"/>
  <c r="K17" i="17"/>
  <c r="K21" i="17"/>
  <c r="K15" i="17"/>
  <c r="K18" i="17"/>
  <c r="K30" i="17"/>
  <c r="K28" i="17"/>
  <c r="K20" i="17"/>
  <c r="K14" i="17"/>
  <c r="K14" i="20" s="1"/>
  <c r="K23" i="17"/>
  <c r="L17" i="19"/>
  <c r="L21" i="19"/>
  <c r="L23" i="19"/>
  <c r="L30" i="19"/>
  <c r="L31" i="19"/>
  <c r="L32" i="19"/>
  <c r="J20" i="20"/>
  <c r="J23" i="20"/>
  <c r="J28" i="20"/>
  <c r="L129" i="19"/>
  <c r="L128" i="19"/>
  <c r="L127" i="19"/>
  <c r="M116" i="19"/>
  <c r="M119" i="19"/>
  <c r="M122" i="19"/>
  <c r="M125" i="19"/>
  <c r="M126" i="19"/>
  <c r="M117" i="19"/>
  <c r="M120" i="19"/>
  <c r="M123" i="19"/>
  <c r="M130" i="19"/>
  <c r="M132" i="19"/>
  <c r="M133" i="19"/>
  <c r="M134" i="19"/>
  <c r="N115" i="19"/>
  <c r="N64" i="13"/>
  <c r="L102" i="19"/>
  <c r="L103" i="19"/>
  <c r="L101" i="19"/>
  <c r="M107" i="19"/>
  <c r="M104" i="19"/>
  <c r="M100" i="19"/>
  <c r="M94" i="19"/>
  <c r="M90" i="19"/>
  <c r="M108" i="19"/>
  <c r="M106" i="19"/>
  <c r="M99" i="19"/>
  <c r="M97" i="19"/>
  <c r="M96" i="19"/>
  <c r="M93" i="19"/>
  <c r="M91" i="19"/>
  <c r="N89" i="19"/>
  <c r="N62" i="13"/>
  <c r="L77" i="19"/>
  <c r="L78" i="19"/>
  <c r="L76" i="19"/>
  <c r="L24" i="19"/>
  <c r="M65" i="19"/>
  <c r="M66" i="19"/>
  <c r="M68" i="19"/>
  <c r="M69" i="19"/>
  <c r="M71" i="19"/>
  <c r="M72" i="19"/>
  <c r="M21" i="19" s="1"/>
  <c r="M74" i="19"/>
  <c r="M23" i="19" s="1"/>
  <c r="M75" i="19"/>
  <c r="M79" i="19"/>
  <c r="M81" i="19"/>
  <c r="M83" i="19"/>
  <c r="M82" i="19"/>
  <c r="N64" i="19"/>
  <c r="N60" i="13"/>
  <c r="L51" i="19"/>
  <c r="L52" i="19"/>
  <c r="L50" i="19"/>
  <c r="M13" i="19"/>
  <c r="M39" i="19"/>
  <c r="M40" i="19"/>
  <c r="M42" i="19"/>
  <c r="M43" i="19"/>
  <c r="M45" i="19"/>
  <c r="M53" i="19"/>
  <c r="M56" i="19"/>
  <c r="M57" i="19"/>
  <c r="M46" i="19"/>
  <c r="M48" i="19"/>
  <c r="M49" i="19"/>
  <c r="M55" i="19"/>
  <c r="M56" i="13"/>
  <c r="N38" i="19"/>
  <c r="N58" i="13"/>
  <c r="L52" i="15"/>
  <c r="L51" i="15"/>
  <c r="L50" i="15"/>
  <c r="M40" i="15"/>
  <c r="M45" i="15"/>
  <c r="M48" i="15"/>
  <c r="M53" i="15"/>
  <c r="M55" i="15"/>
  <c r="M56" i="15"/>
  <c r="M57" i="15"/>
  <c r="M39" i="15"/>
  <c r="M42" i="15"/>
  <c r="M43" i="15"/>
  <c r="M46" i="15"/>
  <c r="M49" i="15"/>
  <c r="N12" i="13"/>
  <c r="N38" i="15"/>
  <c r="K77" i="15"/>
  <c r="K26" i="15" s="1"/>
  <c r="K76" i="15"/>
  <c r="K25" i="15" s="1"/>
  <c r="K78" i="15"/>
  <c r="K27" i="15" s="1"/>
  <c r="L69" i="15"/>
  <c r="L18" i="15" s="1"/>
  <c r="L82" i="15"/>
  <c r="L31" i="15" s="1"/>
  <c r="L65" i="15"/>
  <c r="L14" i="15" s="1"/>
  <c r="L66" i="15"/>
  <c r="L15" i="15" s="1"/>
  <c r="L68" i="15"/>
  <c r="L17" i="15" s="1"/>
  <c r="L71" i="15"/>
  <c r="L20" i="15" s="1"/>
  <c r="L72" i="15"/>
  <c r="L21" i="15" s="1"/>
  <c r="L74" i="15"/>
  <c r="L23" i="15" s="1"/>
  <c r="L75" i="15"/>
  <c r="L79" i="15"/>
  <c r="L28" i="15" s="1"/>
  <c r="L81" i="15"/>
  <c r="L30" i="15" s="1"/>
  <c r="L83" i="15"/>
  <c r="L32" i="15" s="1"/>
  <c r="M64" i="15"/>
  <c r="M14" i="13"/>
  <c r="K27" i="19"/>
  <c r="K26" i="19"/>
  <c r="K25" i="19"/>
  <c r="L14" i="19"/>
  <c r="L15" i="19"/>
  <c r="L18" i="19"/>
  <c r="L20" i="19"/>
  <c r="L28" i="19"/>
  <c r="K24" i="15"/>
  <c r="K24" i="20" s="1"/>
  <c r="L13" i="15"/>
  <c r="L13" i="20" s="1"/>
  <c r="L10" i="13"/>
  <c r="J25" i="20"/>
  <c r="J27" i="20"/>
  <c r="J26" i="20"/>
  <c r="K17" i="20"/>
  <c r="K20" i="20"/>
  <c r="K21" i="20"/>
  <c r="K23" i="20"/>
  <c r="K28" i="20"/>
  <c r="K30" i="20"/>
  <c r="K32" i="20"/>
  <c r="K31" i="20"/>
  <c r="K15" i="20"/>
  <c r="K18" i="20"/>
  <c r="N128" i="18"/>
  <c r="N129" i="18"/>
  <c r="N127" i="18"/>
  <c r="O117" i="18"/>
  <c r="O122" i="18"/>
  <c r="O116" i="18"/>
  <c r="O125" i="18"/>
  <c r="O126" i="18"/>
  <c r="O130" i="18"/>
  <c r="O133" i="18"/>
  <c r="O132" i="18"/>
  <c r="O134" i="18"/>
  <c r="O119" i="18"/>
  <c r="O120" i="18"/>
  <c r="O123" i="18"/>
  <c r="P115" i="18"/>
  <c r="N103" i="18"/>
  <c r="N102" i="18"/>
  <c r="N101" i="18"/>
  <c r="O106" i="18"/>
  <c r="O108" i="18"/>
  <c r="O90" i="18"/>
  <c r="O91" i="18"/>
  <c r="O93" i="18"/>
  <c r="O94" i="18"/>
  <c r="O96" i="18"/>
  <c r="O97" i="18"/>
  <c r="O99" i="18"/>
  <c r="O100" i="18"/>
  <c r="O104" i="18"/>
  <c r="O107" i="18"/>
  <c r="O13" i="18"/>
  <c r="P89" i="18"/>
  <c r="O34" i="13"/>
  <c r="L103" i="17" l="1"/>
  <c r="L101" i="17"/>
  <c r="L102" i="17"/>
  <c r="M108" i="17"/>
  <c r="M106" i="17"/>
  <c r="M100" i="17"/>
  <c r="M96" i="17"/>
  <c r="M94" i="17"/>
  <c r="M93" i="17"/>
  <c r="M104" i="17"/>
  <c r="M107" i="17"/>
  <c r="M90" i="17"/>
  <c r="M91" i="17"/>
  <c r="M99" i="17"/>
  <c r="M97" i="17"/>
  <c r="N89" i="17"/>
  <c r="N50" i="13"/>
  <c r="L153" i="17"/>
  <c r="L152" i="17"/>
  <c r="L154" i="17"/>
  <c r="M155" i="17"/>
  <c r="M157" i="17"/>
  <c r="M148" i="17"/>
  <c r="M150" i="17"/>
  <c r="M141" i="17"/>
  <c r="M145" i="17"/>
  <c r="M142" i="17"/>
  <c r="M147" i="17"/>
  <c r="M151" i="17"/>
  <c r="M159" i="17"/>
  <c r="M144" i="17"/>
  <c r="M158" i="17"/>
  <c r="N140" i="17"/>
  <c r="N54" i="13"/>
  <c r="L24" i="17"/>
  <c r="L50" i="17"/>
  <c r="L52" i="17"/>
  <c r="L51" i="17"/>
  <c r="M13" i="17"/>
  <c r="M39" i="17"/>
  <c r="M40" i="17"/>
  <c r="M45" i="17"/>
  <c r="M49" i="17"/>
  <c r="M48" i="17"/>
  <c r="M57" i="17"/>
  <c r="M55" i="17"/>
  <c r="M42" i="17"/>
  <c r="M43" i="17"/>
  <c r="M46" i="17"/>
  <c r="M53" i="17"/>
  <c r="M56" i="17"/>
  <c r="M44" i="13"/>
  <c r="N38" i="17"/>
  <c r="N46" i="13"/>
  <c r="L78" i="17"/>
  <c r="L77" i="17"/>
  <c r="L76" i="17"/>
  <c r="M83" i="17"/>
  <c r="M66" i="17"/>
  <c r="M72" i="17"/>
  <c r="M74" i="17"/>
  <c r="M82" i="17"/>
  <c r="M65" i="17"/>
  <c r="M69" i="17"/>
  <c r="M71" i="17"/>
  <c r="M75" i="17"/>
  <c r="M79" i="17"/>
  <c r="M81" i="17"/>
  <c r="M68" i="17"/>
  <c r="N64" i="17"/>
  <c r="N48" i="13"/>
  <c r="L128" i="17"/>
  <c r="L127" i="17"/>
  <c r="L129" i="17"/>
  <c r="M125" i="17"/>
  <c r="M116" i="17"/>
  <c r="M120" i="17"/>
  <c r="M133" i="17"/>
  <c r="M117" i="17"/>
  <c r="M119" i="17"/>
  <c r="M132" i="17"/>
  <c r="M134" i="17"/>
  <c r="M122" i="17"/>
  <c r="M130" i="17"/>
  <c r="M123" i="17"/>
  <c r="M126" i="17"/>
  <c r="N115" i="17"/>
  <c r="N52" i="13"/>
  <c r="K25" i="17"/>
  <c r="K27" i="17"/>
  <c r="K26" i="17"/>
  <c r="L32" i="17"/>
  <c r="L32" i="20" s="1"/>
  <c r="L28" i="17"/>
  <c r="L15" i="17"/>
  <c r="L31" i="17"/>
  <c r="L31" i="20" s="1"/>
  <c r="L23" i="17"/>
  <c r="L23" i="20" s="1"/>
  <c r="L21" i="17"/>
  <c r="L21" i="20" s="1"/>
  <c r="L30" i="17"/>
  <c r="L30" i="20" s="1"/>
  <c r="L20" i="17"/>
  <c r="L18" i="17"/>
  <c r="L17" i="17"/>
  <c r="L17" i="20" s="1"/>
  <c r="L14" i="17"/>
  <c r="L14" i="20" s="1"/>
  <c r="M30" i="19"/>
  <c r="M32" i="19"/>
  <c r="M31" i="19"/>
  <c r="M128" i="19"/>
  <c r="M127" i="19"/>
  <c r="M129" i="19"/>
  <c r="N117" i="19"/>
  <c r="N119" i="19"/>
  <c r="N120" i="19"/>
  <c r="N122" i="19"/>
  <c r="N123" i="19"/>
  <c r="N130" i="19"/>
  <c r="N132" i="19"/>
  <c r="N133" i="19"/>
  <c r="N134" i="19"/>
  <c r="N116" i="19"/>
  <c r="N125" i="19"/>
  <c r="N126" i="19"/>
  <c r="O115" i="19"/>
  <c r="O64" i="13"/>
  <c r="M101" i="19"/>
  <c r="M102" i="19"/>
  <c r="M103" i="19"/>
  <c r="N108" i="19"/>
  <c r="N100" i="19"/>
  <c r="N107" i="19"/>
  <c r="N99" i="19"/>
  <c r="N93" i="19"/>
  <c r="N91" i="19"/>
  <c r="N106" i="19"/>
  <c r="N104" i="19"/>
  <c r="N97" i="19"/>
  <c r="N96" i="19"/>
  <c r="N94" i="19"/>
  <c r="N90" i="19"/>
  <c r="O89" i="19"/>
  <c r="O62" i="13"/>
  <c r="M78" i="19"/>
  <c r="M77" i="19"/>
  <c r="M76" i="19"/>
  <c r="M24" i="19"/>
  <c r="N65" i="19"/>
  <c r="N66" i="19"/>
  <c r="N68" i="19"/>
  <c r="N69" i="19"/>
  <c r="N18" i="19" s="1"/>
  <c r="N71" i="19"/>
  <c r="N72" i="19"/>
  <c r="N74" i="19"/>
  <c r="N75" i="19"/>
  <c r="N79" i="19"/>
  <c r="N28" i="19" s="1"/>
  <c r="N81" i="19"/>
  <c r="N82" i="19"/>
  <c r="N83" i="19"/>
  <c r="O64" i="19"/>
  <c r="O60" i="13"/>
  <c r="M50" i="19"/>
  <c r="M51" i="19"/>
  <c r="M52" i="19"/>
  <c r="N13" i="19"/>
  <c r="N39" i="19"/>
  <c r="N40" i="19"/>
  <c r="N45" i="19"/>
  <c r="N46" i="19"/>
  <c r="N48" i="19"/>
  <c r="N55" i="19"/>
  <c r="N42" i="19"/>
  <c r="N43" i="19"/>
  <c r="N49" i="19"/>
  <c r="N53" i="19"/>
  <c r="N57" i="19"/>
  <c r="N56" i="19"/>
  <c r="N56" i="13"/>
  <c r="O38" i="19"/>
  <c r="O58" i="13"/>
  <c r="M52" i="15"/>
  <c r="M51" i="15"/>
  <c r="M50" i="15"/>
  <c r="O38" i="15"/>
  <c r="O12" i="13"/>
  <c r="N42" i="15"/>
  <c r="N43" i="15"/>
  <c r="N48" i="15"/>
  <c r="N49" i="15"/>
  <c r="N39" i="15"/>
  <c r="N40" i="15"/>
  <c r="N45" i="15"/>
  <c r="N46" i="15"/>
  <c r="N53" i="15"/>
  <c r="N55" i="15"/>
  <c r="N56" i="15"/>
  <c r="N57" i="15"/>
  <c r="L77" i="15"/>
  <c r="L26" i="15" s="1"/>
  <c r="L78" i="15"/>
  <c r="L27" i="15" s="1"/>
  <c r="L76" i="15"/>
  <c r="L25" i="15" s="1"/>
  <c r="M65" i="15"/>
  <c r="M14" i="15" s="1"/>
  <c r="M66" i="15"/>
  <c r="M15" i="15" s="1"/>
  <c r="M75" i="15"/>
  <c r="M69" i="15"/>
  <c r="M18" i="15" s="1"/>
  <c r="M83" i="15"/>
  <c r="M32" i="15" s="1"/>
  <c r="M68" i="15"/>
  <c r="M17" i="15" s="1"/>
  <c r="M71" i="15"/>
  <c r="M20" i="15" s="1"/>
  <c r="M72" i="15"/>
  <c r="M21" i="15" s="1"/>
  <c r="M74" i="15"/>
  <c r="M23" i="15" s="1"/>
  <c r="M79" i="15"/>
  <c r="M28" i="15" s="1"/>
  <c r="M81" i="15"/>
  <c r="M30" i="15" s="1"/>
  <c r="M82" i="15"/>
  <c r="M31" i="15" s="1"/>
  <c r="N64" i="15"/>
  <c r="N14" i="13"/>
  <c r="L26" i="19"/>
  <c r="L27" i="19"/>
  <c r="L25" i="19"/>
  <c r="M14" i="19"/>
  <c r="M15" i="19"/>
  <c r="M17" i="19"/>
  <c r="M18" i="19"/>
  <c r="M20" i="19"/>
  <c r="M28" i="19"/>
  <c r="L24" i="15"/>
  <c r="M13" i="15"/>
  <c r="M10" i="13"/>
  <c r="K26" i="20"/>
  <c r="K25" i="20"/>
  <c r="K27" i="20"/>
  <c r="L15" i="20"/>
  <c r="L20" i="20"/>
  <c r="L28" i="20"/>
  <c r="O129" i="18"/>
  <c r="O128" i="18"/>
  <c r="O127" i="18"/>
  <c r="P116" i="18"/>
  <c r="P122" i="18"/>
  <c r="P123" i="18"/>
  <c r="P117" i="18"/>
  <c r="P119" i="18"/>
  <c r="P120" i="18"/>
  <c r="P125" i="18"/>
  <c r="P132" i="18"/>
  <c r="P130" i="18"/>
  <c r="P133" i="18"/>
  <c r="P134" i="18"/>
  <c r="P126" i="18"/>
  <c r="Q42" i="13"/>
  <c r="Q115" i="18"/>
  <c r="O103" i="18"/>
  <c r="O102" i="18"/>
  <c r="O101" i="18"/>
  <c r="P106" i="18"/>
  <c r="P93" i="18"/>
  <c r="P94" i="18"/>
  <c r="P96" i="18"/>
  <c r="P97" i="18"/>
  <c r="P99" i="18"/>
  <c r="P100" i="18"/>
  <c r="P104" i="18"/>
  <c r="P91" i="18"/>
  <c r="P90" i="18"/>
  <c r="P107" i="18"/>
  <c r="P108" i="18"/>
  <c r="P13" i="18"/>
  <c r="Q40" i="13"/>
  <c r="Q89" i="18"/>
  <c r="P34" i="13"/>
  <c r="M102" i="17" l="1"/>
  <c r="M101" i="17"/>
  <c r="M103" i="17"/>
  <c r="N107" i="17"/>
  <c r="N104" i="17"/>
  <c r="N108" i="17"/>
  <c r="N106" i="17"/>
  <c r="N97" i="17"/>
  <c r="N94" i="17"/>
  <c r="N93" i="17"/>
  <c r="N99" i="17"/>
  <c r="N96" i="17"/>
  <c r="N91" i="17"/>
  <c r="N100" i="17"/>
  <c r="N90" i="17"/>
  <c r="O89" i="17"/>
  <c r="O50" i="13"/>
  <c r="M154" i="17"/>
  <c r="M152" i="17"/>
  <c r="M153" i="17"/>
  <c r="N150" i="17"/>
  <c r="N141" i="17"/>
  <c r="N142" i="17"/>
  <c r="N145" i="17"/>
  <c r="N155" i="17"/>
  <c r="N158" i="17"/>
  <c r="N148" i="17"/>
  <c r="N151" i="17"/>
  <c r="N159" i="17"/>
  <c r="N144" i="17"/>
  <c r="N147" i="17"/>
  <c r="N157" i="17"/>
  <c r="O140" i="17"/>
  <c r="O54" i="13"/>
  <c r="M24" i="17"/>
  <c r="M52" i="17"/>
  <c r="M51" i="17"/>
  <c r="M50" i="17"/>
  <c r="N13" i="17"/>
  <c r="N43" i="17"/>
  <c r="N57" i="17"/>
  <c r="N42" i="17"/>
  <c r="N53" i="17"/>
  <c r="N49" i="17"/>
  <c r="N56" i="17"/>
  <c r="N39" i="17"/>
  <c r="N40" i="17"/>
  <c r="N45" i="17"/>
  <c r="N46" i="17"/>
  <c r="N48" i="17"/>
  <c r="N55" i="17"/>
  <c r="N44" i="13"/>
  <c r="O38" i="17"/>
  <c r="O46" i="13"/>
  <c r="M78" i="17"/>
  <c r="M76" i="17"/>
  <c r="M77" i="17"/>
  <c r="N82" i="17"/>
  <c r="N65" i="17"/>
  <c r="N75" i="17"/>
  <c r="N79" i="17"/>
  <c r="N81" i="17"/>
  <c r="N68" i="17"/>
  <c r="N71" i="17"/>
  <c r="N72" i="17"/>
  <c r="N74" i="17"/>
  <c r="N83" i="17"/>
  <c r="N66" i="17"/>
  <c r="N69" i="17"/>
  <c r="O64" i="17"/>
  <c r="O48" i="13"/>
  <c r="M127" i="17"/>
  <c r="M129" i="17"/>
  <c r="M128" i="17"/>
  <c r="N122" i="17"/>
  <c r="N123" i="17"/>
  <c r="N126" i="17"/>
  <c r="N116" i="17"/>
  <c r="N125" i="17"/>
  <c r="N134" i="17"/>
  <c r="N117" i="17"/>
  <c r="N130" i="17"/>
  <c r="N120" i="17"/>
  <c r="N133" i="17"/>
  <c r="N119" i="17"/>
  <c r="N132" i="17"/>
  <c r="O115" i="17"/>
  <c r="O52" i="13"/>
  <c r="L27" i="17"/>
  <c r="L25" i="17"/>
  <c r="L26" i="17"/>
  <c r="M32" i="17"/>
  <c r="M32" i="20" s="1"/>
  <c r="M30" i="17"/>
  <c r="M30" i="20" s="1"/>
  <c r="M20" i="17"/>
  <c r="M18" i="17"/>
  <c r="M18" i="20" s="1"/>
  <c r="M17" i="17"/>
  <c r="M28" i="17"/>
  <c r="M31" i="17"/>
  <c r="M31" i="20" s="1"/>
  <c r="M14" i="17"/>
  <c r="M15" i="17"/>
  <c r="M15" i="20" s="1"/>
  <c r="M23" i="17"/>
  <c r="M23" i="20" s="1"/>
  <c r="M21" i="17"/>
  <c r="M21" i="20" s="1"/>
  <c r="N31" i="19"/>
  <c r="N32" i="19"/>
  <c r="L18" i="20"/>
  <c r="L24" i="20"/>
  <c r="M13" i="20"/>
  <c r="N129" i="19"/>
  <c r="N127" i="19"/>
  <c r="N128" i="19"/>
  <c r="O116" i="19"/>
  <c r="O119" i="19"/>
  <c r="O125" i="19"/>
  <c r="O126" i="19"/>
  <c r="O134" i="19"/>
  <c r="O117" i="19"/>
  <c r="O120" i="19"/>
  <c r="O122" i="19"/>
  <c r="O123" i="19"/>
  <c r="O130" i="19"/>
  <c r="O132" i="19"/>
  <c r="O133" i="19"/>
  <c r="P115" i="19"/>
  <c r="P64" i="13"/>
  <c r="N101" i="19"/>
  <c r="N102" i="19"/>
  <c r="N103" i="19"/>
  <c r="O106" i="19"/>
  <c r="O100" i="19"/>
  <c r="O97" i="19"/>
  <c r="O93" i="19"/>
  <c r="O108" i="19"/>
  <c r="O104" i="19"/>
  <c r="O99" i="19"/>
  <c r="O94" i="19"/>
  <c r="O107" i="19"/>
  <c r="O90" i="19"/>
  <c r="O96" i="19"/>
  <c r="O91" i="19"/>
  <c r="P89" i="19"/>
  <c r="P62" i="13"/>
  <c r="N77" i="19"/>
  <c r="N78" i="19"/>
  <c r="N76" i="19"/>
  <c r="N24" i="19"/>
  <c r="O68" i="19"/>
  <c r="O65" i="19"/>
  <c r="O66" i="19"/>
  <c r="O69" i="19"/>
  <c r="O71" i="19"/>
  <c r="O72" i="19"/>
  <c r="O21" i="19" s="1"/>
  <c r="O74" i="19"/>
  <c r="O23" i="19" s="1"/>
  <c r="O75" i="19"/>
  <c r="O79" i="19"/>
  <c r="O81" i="19"/>
  <c r="O30" i="19" s="1"/>
  <c r="O82" i="19"/>
  <c r="O83" i="19"/>
  <c r="P64" i="19"/>
  <c r="P60" i="13"/>
  <c r="N51" i="19"/>
  <c r="N52" i="19"/>
  <c r="N50" i="19"/>
  <c r="O13" i="19"/>
  <c r="O39" i="19"/>
  <c r="O40" i="19"/>
  <c r="O43" i="19"/>
  <c r="O57" i="19"/>
  <c r="O53" i="19"/>
  <c r="O56" i="19"/>
  <c r="O42" i="19"/>
  <c r="O45" i="19"/>
  <c r="O46" i="19"/>
  <c r="O48" i="19"/>
  <c r="O49" i="19"/>
  <c r="O55" i="19"/>
  <c r="O56" i="13"/>
  <c r="P38" i="19"/>
  <c r="P58" i="13"/>
  <c r="O40" i="15"/>
  <c r="O46" i="15"/>
  <c r="O53" i="15"/>
  <c r="O55" i="15"/>
  <c r="O56" i="15"/>
  <c r="O57" i="15"/>
  <c r="O39" i="15"/>
  <c r="O42" i="15"/>
  <c r="O43" i="15"/>
  <c r="O45" i="15"/>
  <c r="O48" i="15"/>
  <c r="O49" i="15"/>
  <c r="P38" i="15"/>
  <c r="P12" i="13"/>
  <c r="N52" i="15"/>
  <c r="N51" i="15"/>
  <c r="N50" i="15"/>
  <c r="M76" i="15"/>
  <c r="M25" i="15" s="1"/>
  <c r="M77" i="15"/>
  <c r="M26" i="15" s="1"/>
  <c r="M78" i="15"/>
  <c r="M27" i="15" s="1"/>
  <c r="N71" i="15"/>
  <c r="N20" i="15" s="1"/>
  <c r="N74" i="15"/>
  <c r="N23" i="15" s="1"/>
  <c r="N79" i="15"/>
  <c r="N28" i="15" s="1"/>
  <c r="N81" i="15"/>
  <c r="N30" i="15" s="1"/>
  <c r="N83" i="15"/>
  <c r="N32" i="15" s="1"/>
  <c r="N68" i="15"/>
  <c r="N17" i="15" s="1"/>
  <c r="N72" i="15"/>
  <c r="N21" i="15" s="1"/>
  <c r="N82" i="15"/>
  <c r="N31" i="15" s="1"/>
  <c r="N65" i="15"/>
  <c r="N14" i="15" s="1"/>
  <c r="N66" i="15"/>
  <c r="N15" i="15" s="1"/>
  <c r="N69" i="15"/>
  <c r="N18" i="15" s="1"/>
  <c r="N75" i="15"/>
  <c r="O14" i="13"/>
  <c r="O64" i="15"/>
  <c r="M27" i="19"/>
  <c r="M26" i="19"/>
  <c r="M25" i="19"/>
  <c r="N14" i="19"/>
  <c r="N15" i="19"/>
  <c r="N17" i="19"/>
  <c r="N20" i="19"/>
  <c r="N21" i="19"/>
  <c r="N23" i="19"/>
  <c r="N30" i="19"/>
  <c r="M24" i="15"/>
  <c r="M24" i="20" s="1"/>
  <c r="N10" i="13"/>
  <c r="N13" i="15"/>
  <c r="N13" i="20" s="1"/>
  <c r="L26" i="20"/>
  <c r="L27" i="20"/>
  <c r="L25" i="20"/>
  <c r="M14" i="20"/>
  <c r="M17" i="20"/>
  <c r="M20" i="20"/>
  <c r="M28" i="20"/>
  <c r="P129" i="18"/>
  <c r="P127" i="18"/>
  <c r="P128" i="18"/>
  <c r="Q116" i="18"/>
  <c r="R116" i="18" s="1"/>
  <c r="Q119" i="18"/>
  <c r="R119" i="18" s="1"/>
  <c r="Q125" i="18"/>
  <c r="R125" i="18" s="1"/>
  <c r="Q134" i="18"/>
  <c r="R134" i="18" s="1"/>
  <c r="Q122" i="18"/>
  <c r="R122" i="18" s="1"/>
  <c r="Q117" i="18"/>
  <c r="R117" i="18" s="1"/>
  <c r="Q126" i="18"/>
  <c r="Q130" i="18"/>
  <c r="R130" i="18" s="1"/>
  <c r="Q132" i="18"/>
  <c r="R132" i="18" s="1"/>
  <c r="Q133" i="18"/>
  <c r="R133" i="18" s="1"/>
  <c r="R115" i="18"/>
  <c r="Q120" i="18"/>
  <c r="R120" i="18" s="1"/>
  <c r="Q123" i="18"/>
  <c r="R123" i="18" s="1"/>
  <c r="P103" i="18"/>
  <c r="P102" i="18"/>
  <c r="P101" i="18"/>
  <c r="Q91" i="18"/>
  <c r="R91" i="18" s="1"/>
  <c r="Q106" i="18"/>
  <c r="R106" i="18" s="1"/>
  <c r="Q93" i="18"/>
  <c r="R93" i="18" s="1"/>
  <c r="Q94" i="18"/>
  <c r="R94" i="18" s="1"/>
  <c r="Q96" i="18"/>
  <c r="R96" i="18" s="1"/>
  <c r="Q97" i="18"/>
  <c r="R97" i="18" s="1"/>
  <c r="Q99" i="18"/>
  <c r="R99" i="18" s="1"/>
  <c r="Q100" i="18"/>
  <c r="R89" i="18"/>
  <c r="Q90" i="18"/>
  <c r="R90" i="18" s="1"/>
  <c r="Q104" i="18"/>
  <c r="R104" i="18" s="1"/>
  <c r="Q107" i="18"/>
  <c r="R107" i="18" s="1"/>
  <c r="Q108" i="18"/>
  <c r="R108" i="18" s="1"/>
  <c r="Q13" i="18"/>
  <c r="R13" i="18" s="1"/>
  <c r="Q34" i="13"/>
  <c r="N24" i="15" l="1"/>
  <c r="O10" i="13"/>
  <c r="N101" i="17"/>
  <c r="N103" i="17"/>
  <c r="N102" i="17"/>
  <c r="O108" i="17"/>
  <c r="O106" i="17"/>
  <c r="O100" i="17"/>
  <c r="O93" i="17"/>
  <c r="O90" i="17"/>
  <c r="O96" i="17"/>
  <c r="O97" i="17"/>
  <c r="O94" i="17"/>
  <c r="O104" i="17"/>
  <c r="O107" i="17"/>
  <c r="O99" i="17"/>
  <c r="O91" i="17"/>
  <c r="P89" i="17"/>
  <c r="P50" i="13"/>
  <c r="N153" i="17"/>
  <c r="N152" i="17"/>
  <c r="N154" i="17"/>
  <c r="O141" i="17"/>
  <c r="O148" i="17"/>
  <c r="O158" i="17"/>
  <c r="O147" i="17"/>
  <c r="O150" i="17"/>
  <c r="O157" i="17"/>
  <c r="O142" i="17"/>
  <c r="O144" i="17"/>
  <c r="O145" i="17"/>
  <c r="O155" i="17"/>
  <c r="O151" i="17"/>
  <c r="O159" i="17"/>
  <c r="P140" i="17"/>
  <c r="P54" i="13"/>
  <c r="N24" i="17"/>
  <c r="N24" i="20" s="1"/>
  <c r="N50" i="17"/>
  <c r="N51" i="17"/>
  <c r="N52" i="17"/>
  <c r="O13" i="17"/>
  <c r="O42" i="17"/>
  <c r="O46" i="17"/>
  <c r="O55" i="17"/>
  <c r="O56" i="17"/>
  <c r="O43" i="17"/>
  <c r="O48" i="17"/>
  <c r="O49" i="17"/>
  <c r="O53" i="17"/>
  <c r="O57" i="17"/>
  <c r="O40" i="17"/>
  <c r="O45" i="17"/>
  <c r="O39" i="17"/>
  <c r="O44" i="13"/>
  <c r="P38" i="17"/>
  <c r="P46" i="13"/>
  <c r="N78" i="17"/>
  <c r="N77" i="17"/>
  <c r="N76" i="17"/>
  <c r="O79" i="17"/>
  <c r="O81" i="17"/>
  <c r="O83" i="17"/>
  <c r="O68" i="17"/>
  <c r="O72" i="17"/>
  <c r="O74" i="17"/>
  <c r="O82" i="17"/>
  <c r="O65" i="17"/>
  <c r="O66" i="17"/>
  <c r="O75" i="17"/>
  <c r="O69" i="17"/>
  <c r="O71" i="17"/>
  <c r="P64" i="17"/>
  <c r="P48" i="13"/>
  <c r="N127" i="17"/>
  <c r="N129" i="17"/>
  <c r="N128" i="17"/>
  <c r="O116" i="17"/>
  <c r="O133" i="17"/>
  <c r="O117" i="17"/>
  <c r="O120" i="17"/>
  <c r="O123" i="17"/>
  <c r="O132" i="17"/>
  <c r="O126" i="17"/>
  <c r="O134" i="17"/>
  <c r="O125" i="17"/>
  <c r="O130" i="17"/>
  <c r="O119" i="17"/>
  <c r="O122" i="17"/>
  <c r="P115" i="17"/>
  <c r="P52" i="13"/>
  <c r="M26" i="17"/>
  <c r="M26" i="20" s="1"/>
  <c r="M25" i="17"/>
  <c r="M25" i="20" s="1"/>
  <c r="M27" i="17"/>
  <c r="M27" i="20" s="1"/>
  <c r="N31" i="17"/>
  <c r="N31" i="20" s="1"/>
  <c r="N28" i="17"/>
  <c r="N28" i="20" s="1"/>
  <c r="N32" i="17"/>
  <c r="N32" i="20" s="1"/>
  <c r="N30" i="17"/>
  <c r="N30" i="20" s="1"/>
  <c r="N21" i="17"/>
  <c r="N18" i="17"/>
  <c r="N18" i="20" s="1"/>
  <c r="N17" i="17"/>
  <c r="N23" i="17"/>
  <c r="N23" i="20" s="1"/>
  <c r="N20" i="17"/>
  <c r="N20" i="20" s="1"/>
  <c r="N15" i="17"/>
  <c r="N14" i="17"/>
  <c r="O129" i="19"/>
  <c r="O127" i="19"/>
  <c r="O128" i="19"/>
  <c r="P116" i="19"/>
  <c r="P117" i="19"/>
  <c r="P119" i="19"/>
  <c r="P123" i="19"/>
  <c r="P125" i="19"/>
  <c r="P126" i="19"/>
  <c r="P132" i="19"/>
  <c r="P133" i="19"/>
  <c r="P134" i="19"/>
  <c r="P120" i="19"/>
  <c r="P122" i="19"/>
  <c r="P130" i="19"/>
  <c r="Q64" i="13"/>
  <c r="Q115" i="19"/>
  <c r="O102" i="19"/>
  <c r="O101" i="19"/>
  <c r="O103" i="19"/>
  <c r="P104" i="19"/>
  <c r="P90" i="19"/>
  <c r="P99" i="19"/>
  <c r="P96" i="19"/>
  <c r="P91" i="19"/>
  <c r="P106" i="19"/>
  <c r="P93" i="19"/>
  <c r="P108" i="19"/>
  <c r="P107" i="19"/>
  <c r="P97" i="19"/>
  <c r="P94" i="19"/>
  <c r="P100" i="19"/>
  <c r="Q89" i="19"/>
  <c r="Q62" i="13"/>
  <c r="O78" i="19"/>
  <c r="O77" i="19"/>
  <c r="O76" i="19"/>
  <c r="O24" i="19"/>
  <c r="P65" i="19"/>
  <c r="P66" i="19"/>
  <c r="P68" i="19"/>
  <c r="P69" i="19"/>
  <c r="P71" i="19"/>
  <c r="P72" i="19"/>
  <c r="P74" i="19"/>
  <c r="P75" i="19"/>
  <c r="P79" i="19"/>
  <c r="P82" i="19"/>
  <c r="P83" i="19"/>
  <c r="P81" i="19"/>
  <c r="Q60" i="13"/>
  <c r="Q64" i="19"/>
  <c r="O50" i="19"/>
  <c r="O51" i="19"/>
  <c r="O52" i="19"/>
  <c r="P13" i="19"/>
  <c r="P39" i="19"/>
  <c r="P40" i="19"/>
  <c r="P46" i="19"/>
  <c r="P53" i="19"/>
  <c r="P56" i="19"/>
  <c r="P57" i="19"/>
  <c r="P43" i="19"/>
  <c r="P45" i="19"/>
  <c r="P55" i="19"/>
  <c r="P42" i="19"/>
  <c r="P48" i="19"/>
  <c r="P49" i="19"/>
  <c r="P56" i="13"/>
  <c r="Q56" i="13" s="1"/>
  <c r="Q58" i="13"/>
  <c r="Q38" i="19"/>
  <c r="O52" i="15"/>
  <c r="O51" i="15"/>
  <c r="O50" i="15"/>
  <c r="P39" i="15"/>
  <c r="P43" i="15"/>
  <c r="P45" i="15"/>
  <c r="P46" i="15"/>
  <c r="P48" i="15"/>
  <c r="P49" i="15"/>
  <c r="P55" i="15"/>
  <c r="P40" i="15"/>
  <c r="P42" i="15"/>
  <c r="P53" i="15"/>
  <c r="P56" i="15"/>
  <c r="P57" i="15"/>
  <c r="Q12" i="13"/>
  <c r="Q38" i="15"/>
  <c r="N78" i="15"/>
  <c r="N27" i="15" s="1"/>
  <c r="N76" i="15"/>
  <c r="N25" i="15" s="1"/>
  <c r="N77" i="15"/>
  <c r="N26" i="15" s="1"/>
  <c r="P64" i="15"/>
  <c r="P14" i="13"/>
  <c r="O72" i="15"/>
  <c r="O21" i="15" s="1"/>
  <c r="O75" i="15"/>
  <c r="O79" i="15"/>
  <c r="O28" i="15" s="1"/>
  <c r="O82" i="15"/>
  <c r="O31" i="15" s="1"/>
  <c r="O65" i="15"/>
  <c r="O14" i="15" s="1"/>
  <c r="O66" i="15"/>
  <c r="O15" i="15" s="1"/>
  <c r="O69" i="15"/>
  <c r="O18" i="15" s="1"/>
  <c r="O71" i="15"/>
  <c r="O20" i="15" s="1"/>
  <c r="O74" i="15"/>
  <c r="O23" i="15" s="1"/>
  <c r="O81" i="15"/>
  <c r="O30" i="15" s="1"/>
  <c r="O68" i="15"/>
  <c r="O17" i="15" s="1"/>
  <c r="O83" i="15"/>
  <c r="O32" i="15" s="1"/>
  <c r="N26" i="19"/>
  <c r="N27" i="19"/>
  <c r="N25" i="19"/>
  <c r="O17" i="19"/>
  <c r="O14" i="19"/>
  <c r="O15" i="19"/>
  <c r="O18" i="19"/>
  <c r="O20" i="19"/>
  <c r="O28" i="19"/>
  <c r="O31" i="19"/>
  <c r="O32" i="19"/>
  <c r="O13" i="15"/>
  <c r="N17" i="20"/>
  <c r="N21" i="20"/>
  <c r="N14" i="20"/>
  <c r="N15" i="20"/>
  <c r="Q129" i="18"/>
  <c r="R129" i="18" s="1"/>
  <c r="Q127" i="18"/>
  <c r="R127" i="18" s="1"/>
  <c r="Q128" i="18"/>
  <c r="R128" i="18" s="1"/>
  <c r="R126" i="18"/>
  <c r="R100" i="18"/>
  <c r="Q103" i="18"/>
  <c r="R103" i="18" s="1"/>
  <c r="Q102" i="18"/>
  <c r="R102" i="18" s="1"/>
  <c r="Q101" i="18"/>
  <c r="R101" i="18" s="1"/>
  <c r="O102" i="17" l="1"/>
  <c r="O101" i="17"/>
  <c r="O103" i="17"/>
  <c r="P107" i="17"/>
  <c r="P104" i="17"/>
  <c r="P100" i="17"/>
  <c r="P108" i="17"/>
  <c r="P97" i="17"/>
  <c r="P106" i="17"/>
  <c r="P93" i="17"/>
  <c r="P96" i="17"/>
  <c r="P94" i="17"/>
  <c r="P91" i="17"/>
  <c r="P99" i="17"/>
  <c r="P90" i="17"/>
  <c r="Q89" i="17"/>
  <c r="Q50" i="13"/>
  <c r="O153" i="17"/>
  <c r="O154" i="17"/>
  <c r="O152" i="17"/>
  <c r="P147" i="17"/>
  <c r="P157" i="17"/>
  <c r="P159" i="17"/>
  <c r="P142" i="17"/>
  <c r="P151" i="17"/>
  <c r="P158" i="17"/>
  <c r="P150" i="17"/>
  <c r="P141" i="17"/>
  <c r="P144" i="17"/>
  <c r="P145" i="17"/>
  <c r="P148" i="17"/>
  <c r="P155" i="17"/>
  <c r="Q54" i="13"/>
  <c r="Q140" i="17"/>
  <c r="O24" i="17"/>
  <c r="O52" i="17"/>
  <c r="O51" i="17"/>
  <c r="O50" i="17"/>
  <c r="P13" i="17"/>
  <c r="P40" i="17"/>
  <c r="P43" i="17"/>
  <c r="P39" i="17"/>
  <c r="P42" i="17"/>
  <c r="P53" i="17"/>
  <c r="P45" i="17"/>
  <c r="P55" i="17"/>
  <c r="P56" i="17"/>
  <c r="P46" i="17"/>
  <c r="P48" i="17"/>
  <c r="P49" i="17"/>
  <c r="P57" i="17"/>
  <c r="P44" i="13"/>
  <c r="Q44" i="13" s="1"/>
  <c r="Q46" i="13"/>
  <c r="Q38" i="17"/>
  <c r="O78" i="17"/>
  <c r="O76" i="17"/>
  <c r="O77" i="17"/>
  <c r="P69" i="17"/>
  <c r="P79" i="17"/>
  <c r="P81" i="17"/>
  <c r="P66" i="17"/>
  <c r="P68" i="17"/>
  <c r="P71" i="17"/>
  <c r="P72" i="17"/>
  <c r="P74" i="17"/>
  <c r="P75" i="17"/>
  <c r="P82" i="17"/>
  <c r="P83" i="17"/>
  <c r="P65" i="17"/>
  <c r="Q48" i="13"/>
  <c r="Q64" i="17"/>
  <c r="O127" i="17"/>
  <c r="O129" i="17"/>
  <c r="O128" i="17"/>
  <c r="P132" i="17"/>
  <c r="P134" i="17"/>
  <c r="P126" i="17"/>
  <c r="P130" i="17"/>
  <c r="P116" i="17"/>
  <c r="P123" i="17"/>
  <c r="P125" i="17"/>
  <c r="P117" i="17"/>
  <c r="P119" i="17"/>
  <c r="P122" i="17"/>
  <c r="P120" i="17"/>
  <c r="P133" i="17"/>
  <c r="Q52" i="13"/>
  <c r="Q115" i="17"/>
  <c r="N25" i="17"/>
  <c r="N27" i="17"/>
  <c r="N26" i="17"/>
  <c r="O32" i="17"/>
  <c r="O30" i="17"/>
  <c r="O30" i="20" s="1"/>
  <c r="O17" i="17"/>
  <c r="O14" i="17"/>
  <c r="O20" i="17"/>
  <c r="O21" i="17"/>
  <c r="O21" i="20" s="1"/>
  <c r="O18" i="17"/>
  <c r="O28" i="17"/>
  <c r="O31" i="17"/>
  <c r="O23" i="17"/>
  <c r="O23" i="20" s="1"/>
  <c r="O15" i="17"/>
  <c r="O13" i="20"/>
  <c r="O27" i="19"/>
  <c r="O26" i="19"/>
  <c r="O25" i="19"/>
  <c r="P14" i="19"/>
  <c r="P15" i="19"/>
  <c r="P17" i="19"/>
  <c r="P18" i="19"/>
  <c r="P20" i="19"/>
  <c r="P21" i="19"/>
  <c r="P23" i="19"/>
  <c r="P28" i="19"/>
  <c r="P31" i="19"/>
  <c r="P32" i="19"/>
  <c r="P129" i="19"/>
  <c r="P128" i="19"/>
  <c r="P127" i="19"/>
  <c r="R115" i="19"/>
  <c r="Q119" i="19"/>
  <c r="R119" i="19" s="1"/>
  <c r="Q120" i="19"/>
  <c r="R120" i="19" s="1"/>
  <c r="Q122" i="19"/>
  <c r="R122" i="19" s="1"/>
  <c r="Q130" i="19"/>
  <c r="R130" i="19" s="1"/>
  <c r="Q132" i="19"/>
  <c r="R132" i="19" s="1"/>
  <c r="Q116" i="19"/>
  <c r="R116" i="19" s="1"/>
  <c r="Q117" i="19"/>
  <c r="R117" i="19" s="1"/>
  <c r="Q123" i="19"/>
  <c r="R123" i="19" s="1"/>
  <c r="Q125" i="19"/>
  <c r="R125" i="19" s="1"/>
  <c r="Q126" i="19"/>
  <c r="Q133" i="19"/>
  <c r="R133" i="19" s="1"/>
  <c r="Q134" i="19"/>
  <c r="R134" i="19" s="1"/>
  <c r="P101" i="19"/>
  <c r="P102" i="19"/>
  <c r="P103" i="19"/>
  <c r="Q108" i="19"/>
  <c r="R108" i="19" s="1"/>
  <c r="Q106" i="19"/>
  <c r="R106" i="19" s="1"/>
  <c r="Q100" i="19"/>
  <c r="R89" i="19"/>
  <c r="Q107" i="19"/>
  <c r="R107" i="19" s="1"/>
  <c r="Q104" i="19"/>
  <c r="R104" i="19" s="1"/>
  <c r="Q99" i="19"/>
  <c r="R99" i="19" s="1"/>
  <c r="Q97" i="19"/>
  <c r="R97" i="19" s="1"/>
  <c r="Q96" i="19"/>
  <c r="R96" i="19" s="1"/>
  <c r="Q94" i="19"/>
  <c r="R94" i="19" s="1"/>
  <c r="Q93" i="19"/>
  <c r="R93" i="19" s="1"/>
  <c r="Q91" i="19"/>
  <c r="R91" i="19" s="1"/>
  <c r="Q90" i="19"/>
  <c r="R90" i="19" s="1"/>
  <c r="P77" i="19"/>
  <c r="P78" i="19"/>
  <c r="P76" i="19"/>
  <c r="P24" i="19"/>
  <c r="R64" i="19"/>
  <c r="Q65" i="19"/>
  <c r="Q66" i="19"/>
  <c r="Q68" i="19"/>
  <c r="Q69" i="19"/>
  <c r="Q71" i="19"/>
  <c r="Q72" i="19"/>
  <c r="Q74" i="19"/>
  <c r="Q75" i="19"/>
  <c r="Q81" i="19"/>
  <c r="Q79" i="19"/>
  <c r="Q82" i="19"/>
  <c r="Q83" i="19"/>
  <c r="P52" i="19"/>
  <c r="P50" i="19"/>
  <c r="P51" i="19"/>
  <c r="Q13" i="19"/>
  <c r="R13" i="19" s="1"/>
  <c r="R38" i="19"/>
  <c r="Q39" i="19"/>
  <c r="R39" i="19" s="1"/>
  <c r="Q45" i="19"/>
  <c r="R45" i="19" s="1"/>
  <c r="Q46" i="19"/>
  <c r="R46" i="19" s="1"/>
  <c r="Q49" i="19"/>
  <c r="Q53" i="19"/>
  <c r="R53" i="19" s="1"/>
  <c r="Q55" i="19"/>
  <c r="R55" i="19" s="1"/>
  <c r="Q56" i="19"/>
  <c r="R56" i="19" s="1"/>
  <c r="Q57" i="19"/>
  <c r="R57" i="19" s="1"/>
  <c r="Q40" i="19"/>
  <c r="R40" i="19" s="1"/>
  <c r="Q43" i="19"/>
  <c r="R43" i="19" s="1"/>
  <c r="Q48" i="19"/>
  <c r="R48" i="19" s="1"/>
  <c r="Q42" i="19"/>
  <c r="R42" i="19" s="1"/>
  <c r="P52" i="15"/>
  <c r="P51" i="15"/>
  <c r="P50" i="15"/>
  <c r="R38" i="15"/>
  <c r="Q40" i="15"/>
  <c r="Q42" i="15"/>
  <c r="Q53" i="15"/>
  <c r="Q56" i="15"/>
  <c r="Q57" i="15"/>
  <c r="Q39" i="15"/>
  <c r="Q43" i="15"/>
  <c r="Q45" i="15"/>
  <c r="Q46" i="15"/>
  <c r="Q48" i="15"/>
  <c r="Q49" i="15"/>
  <c r="Q55" i="15"/>
  <c r="P66" i="15"/>
  <c r="P15" i="15" s="1"/>
  <c r="P68" i="15"/>
  <c r="P17" i="15" s="1"/>
  <c r="P69" i="15"/>
  <c r="P18" i="15" s="1"/>
  <c r="P83" i="15"/>
  <c r="P32" i="15" s="1"/>
  <c r="P75" i="15"/>
  <c r="P79" i="15"/>
  <c r="P28" i="15" s="1"/>
  <c r="P71" i="15"/>
  <c r="P20" i="15" s="1"/>
  <c r="P72" i="15"/>
  <c r="P21" i="15" s="1"/>
  <c r="P74" i="15"/>
  <c r="P23" i="15" s="1"/>
  <c r="P81" i="15"/>
  <c r="P30" i="15" s="1"/>
  <c r="P82" i="15"/>
  <c r="P31" i="15" s="1"/>
  <c r="P65" i="15"/>
  <c r="P14" i="15" s="1"/>
  <c r="Q14" i="13"/>
  <c r="Q64" i="15"/>
  <c r="O77" i="15"/>
  <c r="O26" i="15" s="1"/>
  <c r="O78" i="15"/>
  <c r="O27" i="15" s="1"/>
  <c r="O76" i="15"/>
  <c r="O25" i="15" s="1"/>
  <c r="O31" i="20"/>
  <c r="O18" i="20"/>
  <c r="O32" i="20"/>
  <c r="P30" i="19"/>
  <c r="O24" i="15"/>
  <c r="O24" i="20" s="1"/>
  <c r="P13" i="15"/>
  <c r="P13" i="20" s="1"/>
  <c r="P10" i="13"/>
  <c r="Q10" i="13" s="1"/>
  <c r="N27" i="20"/>
  <c r="N25" i="20"/>
  <c r="N26" i="20"/>
  <c r="O28" i="20"/>
  <c r="O14" i="20"/>
  <c r="O15" i="20"/>
  <c r="O20" i="20"/>
  <c r="O17" i="20"/>
  <c r="P102" i="17" l="1"/>
  <c r="P103" i="17"/>
  <c r="P101" i="17"/>
  <c r="Q107" i="17"/>
  <c r="R107" i="17" s="1"/>
  <c r="Q108" i="17"/>
  <c r="R108" i="17" s="1"/>
  <c r="R89" i="17"/>
  <c r="Q100" i="17"/>
  <c r="Q93" i="17"/>
  <c r="R93" i="17" s="1"/>
  <c r="Q104" i="17"/>
  <c r="R104" i="17" s="1"/>
  <c r="Q106" i="17"/>
  <c r="R106" i="17" s="1"/>
  <c r="Q96" i="17"/>
  <c r="R96" i="17" s="1"/>
  <c r="Q97" i="17"/>
  <c r="R97" i="17" s="1"/>
  <c r="Q91" i="17"/>
  <c r="R91" i="17" s="1"/>
  <c r="Q90" i="17"/>
  <c r="R90" i="17" s="1"/>
  <c r="Q99" i="17"/>
  <c r="R99" i="17" s="1"/>
  <c r="Q94" i="17"/>
  <c r="R94" i="17" s="1"/>
  <c r="P154" i="17"/>
  <c r="P152" i="17"/>
  <c r="P153" i="17"/>
  <c r="R140" i="17"/>
  <c r="Q141" i="17"/>
  <c r="R141" i="17" s="1"/>
  <c r="Q144" i="17"/>
  <c r="R144" i="17" s="1"/>
  <c r="Q151" i="17"/>
  <c r="Q155" i="17"/>
  <c r="R155" i="17" s="1"/>
  <c r="Q147" i="17"/>
  <c r="R147" i="17" s="1"/>
  <c r="Q157" i="17"/>
  <c r="R157" i="17" s="1"/>
  <c r="Q159" i="17"/>
  <c r="R159" i="17" s="1"/>
  <c r="Q142" i="17"/>
  <c r="R142" i="17" s="1"/>
  <c r="Q150" i="17"/>
  <c r="R150" i="17" s="1"/>
  <c r="Q145" i="17"/>
  <c r="R145" i="17" s="1"/>
  <c r="Q148" i="17"/>
  <c r="R148" i="17" s="1"/>
  <c r="Q158" i="17"/>
  <c r="R158" i="17" s="1"/>
  <c r="P24" i="17"/>
  <c r="P50" i="17"/>
  <c r="P52" i="17"/>
  <c r="P51" i="17"/>
  <c r="Q13" i="17"/>
  <c r="R13" i="17" s="1"/>
  <c r="R38" i="17"/>
  <c r="Q39" i="17"/>
  <c r="Q45" i="17"/>
  <c r="Q43" i="17"/>
  <c r="Q55" i="17"/>
  <c r="Q56" i="17"/>
  <c r="Q57" i="17"/>
  <c r="Q40" i="17"/>
  <c r="Q46" i="17"/>
  <c r="Q53" i="17"/>
  <c r="Q49" i="17"/>
  <c r="Q42" i="17"/>
  <c r="Q48" i="17"/>
  <c r="P78" i="17"/>
  <c r="P76" i="17"/>
  <c r="P77" i="17"/>
  <c r="R64" i="17"/>
  <c r="Q66" i="17"/>
  <c r="R66" i="17" s="1"/>
  <c r="Q65" i="17"/>
  <c r="R65" i="17" s="1"/>
  <c r="Q68" i="17"/>
  <c r="R68" i="17" s="1"/>
  <c r="Q72" i="17"/>
  <c r="R72" i="17" s="1"/>
  <c r="Q74" i="17"/>
  <c r="R74" i="17" s="1"/>
  <c r="Q75" i="17"/>
  <c r="Q82" i="17"/>
  <c r="R82" i="17" s="1"/>
  <c r="Q83" i="17"/>
  <c r="R83" i="17" s="1"/>
  <c r="Q69" i="17"/>
  <c r="R69" i="17" s="1"/>
  <c r="Q71" i="17"/>
  <c r="R71" i="17" s="1"/>
  <c r="Q79" i="17"/>
  <c r="R79" i="17" s="1"/>
  <c r="Q81" i="17"/>
  <c r="R81" i="17" s="1"/>
  <c r="P127" i="17"/>
  <c r="P129" i="17"/>
  <c r="P128" i="17"/>
  <c r="R115" i="17"/>
  <c r="Q120" i="17"/>
  <c r="R120" i="17" s="1"/>
  <c r="Q125" i="17"/>
  <c r="R125" i="17" s="1"/>
  <c r="Q133" i="17"/>
  <c r="R133" i="17" s="1"/>
  <c r="Q119" i="17"/>
  <c r="R119" i="17" s="1"/>
  <c r="Q122" i="17"/>
  <c r="R122" i="17" s="1"/>
  <c r="Q130" i="17"/>
  <c r="R130" i="17" s="1"/>
  <c r="Q132" i="17"/>
  <c r="R132" i="17" s="1"/>
  <c r="Q123" i="17"/>
  <c r="R123" i="17" s="1"/>
  <c r="Q126" i="17"/>
  <c r="Q116" i="17"/>
  <c r="R116" i="17" s="1"/>
  <c r="Q117" i="17"/>
  <c r="R117" i="17" s="1"/>
  <c r="Q134" i="17"/>
  <c r="R134" i="17" s="1"/>
  <c r="O26" i="17"/>
  <c r="O26" i="20" s="1"/>
  <c r="O25" i="17"/>
  <c r="O25" i="20" s="1"/>
  <c r="O27" i="17"/>
  <c r="O27" i="20" s="1"/>
  <c r="P31" i="17"/>
  <c r="P31" i="20" s="1"/>
  <c r="P28" i="17"/>
  <c r="P28" i="20" s="1"/>
  <c r="P32" i="17"/>
  <c r="P32" i="20" s="1"/>
  <c r="P21" i="17"/>
  <c r="P21" i="20" s="1"/>
  <c r="P30" i="17"/>
  <c r="P17" i="17"/>
  <c r="P17" i="20" s="1"/>
  <c r="P20" i="17"/>
  <c r="P20" i="20" s="1"/>
  <c r="P18" i="17"/>
  <c r="P18" i="20" s="1"/>
  <c r="P15" i="17"/>
  <c r="P15" i="20" s="1"/>
  <c r="P23" i="17"/>
  <c r="P23" i="20" s="1"/>
  <c r="P14" i="17"/>
  <c r="P14" i="20" s="1"/>
  <c r="P26" i="19"/>
  <c r="P27" i="19"/>
  <c r="R126" i="19"/>
  <c r="Q129" i="19"/>
  <c r="R129" i="19" s="1"/>
  <c r="Q128" i="19"/>
  <c r="R128" i="19" s="1"/>
  <c r="Q127" i="19"/>
  <c r="R127" i="19" s="1"/>
  <c r="Q101" i="19"/>
  <c r="R101" i="19" s="1"/>
  <c r="Q102" i="19"/>
  <c r="R102" i="19" s="1"/>
  <c r="R100" i="19"/>
  <c r="Q103" i="19"/>
  <c r="R103" i="19" s="1"/>
  <c r="R65" i="19"/>
  <c r="Q14" i="19"/>
  <c r="R14" i="19" s="1"/>
  <c r="R66" i="19"/>
  <c r="Q15" i="19"/>
  <c r="R15" i="19" s="1"/>
  <c r="R68" i="19"/>
  <c r="Q17" i="19"/>
  <c r="R17" i="19" s="1"/>
  <c r="R69" i="19"/>
  <c r="Q18" i="19"/>
  <c r="R18" i="19" s="1"/>
  <c r="R71" i="19"/>
  <c r="Q20" i="19"/>
  <c r="R20" i="19" s="1"/>
  <c r="R72" i="19"/>
  <c r="Q21" i="19"/>
  <c r="R21" i="19" s="1"/>
  <c r="R74" i="19"/>
  <c r="Q23" i="19"/>
  <c r="R23" i="19" s="1"/>
  <c r="R75" i="19"/>
  <c r="Q78" i="19"/>
  <c r="Q77" i="19"/>
  <c r="Q76" i="19"/>
  <c r="Q24" i="19"/>
  <c r="R24" i="19" s="1"/>
  <c r="R81" i="19"/>
  <c r="Q30" i="19"/>
  <c r="R30" i="19" s="1"/>
  <c r="R79" i="19"/>
  <c r="Q28" i="19"/>
  <c r="R28" i="19" s="1"/>
  <c r="R82" i="19"/>
  <c r="Q31" i="19"/>
  <c r="R31" i="19" s="1"/>
  <c r="R83" i="19"/>
  <c r="Q32" i="19"/>
  <c r="R32" i="19" s="1"/>
  <c r="R49" i="19"/>
  <c r="Q50" i="19"/>
  <c r="R50" i="19" s="1"/>
  <c r="Q51" i="19"/>
  <c r="R51" i="19" s="1"/>
  <c r="Q52" i="19"/>
  <c r="R52" i="19" s="1"/>
  <c r="R40" i="15"/>
  <c r="R42" i="15"/>
  <c r="R53" i="15"/>
  <c r="R56" i="15"/>
  <c r="R57" i="15"/>
  <c r="R39" i="15"/>
  <c r="R43" i="15"/>
  <c r="R45" i="15"/>
  <c r="R46" i="15"/>
  <c r="R48" i="15"/>
  <c r="R49" i="15"/>
  <c r="Q52" i="15"/>
  <c r="Q51" i="15"/>
  <c r="Q50" i="15"/>
  <c r="R55" i="15"/>
  <c r="P78" i="15"/>
  <c r="P27" i="15" s="1"/>
  <c r="P77" i="15"/>
  <c r="P26" i="15" s="1"/>
  <c r="P76" i="15"/>
  <c r="P25" i="15" s="1"/>
  <c r="R64" i="15"/>
  <c r="Q66" i="15"/>
  <c r="R66" i="15" s="1"/>
  <c r="Q74" i="15"/>
  <c r="R74" i="15" s="1"/>
  <c r="Q81" i="15"/>
  <c r="R81" i="15" s="1"/>
  <c r="Q71" i="15"/>
  <c r="R71" i="15" s="1"/>
  <c r="Q72" i="15"/>
  <c r="R72" i="15" s="1"/>
  <c r="Q82" i="15"/>
  <c r="R82" i="15" s="1"/>
  <c r="Q83" i="15"/>
  <c r="R83" i="15" s="1"/>
  <c r="Q65" i="15"/>
  <c r="R65" i="15" s="1"/>
  <c r="Q68" i="15"/>
  <c r="R68" i="15" s="1"/>
  <c r="Q69" i="15"/>
  <c r="R69" i="15" s="1"/>
  <c r="Q75" i="15"/>
  <c r="Q79" i="15"/>
  <c r="R79" i="15" s="1"/>
  <c r="Q13" i="15"/>
  <c r="P30" i="20"/>
  <c r="P25" i="19"/>
  <c r="P24" i="15"/>
  <c r="P24" i="20" s="1"/>
  <c r="Q101" i="17" l="1"/>
  <c r="R101" i="17" s="1"/>
  <c r="Q103" i="17"/>
  <c r="R103" i="17" s="1"/>
  <c r="Q102" i="17"/>
  <c r="R102" i="17" s="1"/>
  <c r="R100" i="17"/>
  <c r="R151" i="17"/>
  <c r="Q153" i="17"/>
  <c r="R153" i="17" s="1"/>
  <c r="Q152" i="17"/>
  <c r="R152" i="17" s="1"/>
  <c r="Q154" i="17"/>
  <c r="R154" i="17" s="1"/>
  <c r="Q14" i="17"/>
  <c r="R14" i="17" s="1"/>
  <c r="R39" i="17"/>
  <c r="Q20" i="17"/>
  <c r="R20" i="17" s="1"/>
  <c r="R45" i="17"/>
  <c r="Q18" i="17"/>
  <c r="R18" i="17" s="1"/>
  <c r="R43" i="17"/>
  <c r="Q30" i="17"/>
  <c r="R30" i="17" s="1"/>
  <c r="R55" i="17"/>
  <c r="Q31" i="17"/>
  <c r="R31" i="17" s="1"/>
  <c r="R56" i="17"/>
  <c r="Q32" i="17"/>
  <c r="R32" i="17" s="1"/>
  <c r="R57" i="17"/>
  <c r="Q15" i="17"/>
  <c r="R15" i="17" s="1"/>
  <c r="R40" i="17"/>
  <c r="Q21" i="17"/>
  <c r="R21" i="17" s="1"/>
  <c r="R46" i="17"/>
  <c r="Q28" i="17"/>
  <c r="R28" i="17" s="1"/>
  <c r="R53" i="17"/>
  <c r="Q24" i="17"/>
  <c r="R24" i="17" s="1"/>
  <c r="R49" i="17"/>
  <c r="Q52" i="17"/>
  <c r="Q50" i="17"/>
  <c r="Q51" i="17"/>
  <c r="Q17" i="17"/>
  <c r="R17" i="17" s="1"/>
  <c r="R42" i="17"/>
  <c r="Q23" i="17"/>
  <c r="R23" i="17" s="1"/>
  <c r="R48" i="17"/>
  <c r="R75" i="17"/>
  <c r="Q76" i="17"/>
  <c r="R76" i="17" s="1"/>
  <c r="Q78" i="17"/>
  <c r="R78" i="17" s="1"/>
  <c r="Q77" i="17"/>
  <c r="R77" i="17" s="1"/>
  <c r="R126" i="17"/>
  <c r="Q129" i="17"/>
  <c r="R129" i="17" s="1"/>
  <c r="Q127" i="17"/>
  <c r="R127" i="17" s="1"/>
  <c r="Q128" i="17"/>
  <c r="R128" i="17" s="1"/>
  <c r="P26" i="17"/>
  <c r="P26" i="20" s="1"/>
  <c r="P27" i="17"/>
  <c r="P27" i="20" s="1"/>
  <c r="P25" i="17"/>
  <c r="R78" i="19"/>
  <c r="Q27" i="19"/>
  <c r="R27" i="19" s="1"/>
  <c r="R77" i="19"/>
  <c r="Q26" i="19"/>
  <c r="R26" i="19" s="1"/>
  <c r="R76" i="19"/>
  <c r="Q25" i="19"/>
  <c r="R25" i="19" s="1"/>
  <c r="R52" i="15"/>
  <c r="R51" i="15"/>
  <c r="R50" i="15"/>
  <c r="R75" i="15"/>
  <c r="Q78" i="15"/>
  <c r="R78" i="15" s="1"/>
  <c r="Q77" i="15"/>
  <c r="R77" i="15" s="1"/>
  <c r="Q76" i="15"/>
  <c r="R76" i="15" s="1"/>
  <c r="R13" i="15"/>
  <c r="Q13" i="20"/>
  <c r="R13" i="20" s="1"/>
  <c r="Q15" i="15"/>
  <c r="Q17" i="15"/>
  <c r="Q28" i="15"/>
  <c r="Q31" i="15"/>
  <c r="Q32" i="15"/>
  <c r="Q14" i="15"/>
  <c r="Q18" i="15"/>
  <c r="Q20" i="15"/>
  <c r="Q21" i="15"/>
  <c r="Q23" i="15"/>
  <c r="Q24" i="15"/>
  <c r="Q30" i="15"/>
  <c r="P25" i="20"/>
  <c r="Q27" i="17" l="1"/>
  <c r="R27" i="17" s="1"/>
  <c r="R52" i="17"/>
  <c r="Q25" i="17"/>
  <c r="R25" i="17" s="1"/>
  <c r="R50" i="17"/>
  <c r="Q26" i="17"/>
  <c r="R26" i="17" s="1"/>
  <c r="R51" i="17"/>
  <c r="R15" i="15"/>
  <c r="Q15" i="20"/>
  <c r="R15" i="20" s="1"/>
  <c r="R17" i="15"/>
  <c r="Q17" i="20"/>
  <c r="R17" i="20" s="1"/>
  <c r="R28" i="15"/>
  <c r="Q28" i="20"/>
  <c r="R28" i="20" s="1"/>
  <c r="R31" i="15"/>
  <c r="Q31" i="20"/>
  <c r="R31" i="20" s="1"/>
  <c r="R32" i="15"/>
  <c r="Q32" i="20"/>
  <c r="R32" i="20" s="1"/>
  <c r="R14" i="15"/>
  <c r="Q14" i="20"/>
  <c r="R14" i="20" s="1"/>
  <c r="R18" i="15"/>
  <c r="Q18" i="20"/>
  <c r="R18" i="20" s="1"/>
  <c r="R20" i="15"/>
  <c r="Q20" i="20"/>
  <c r="R20" i="20" s="1"/>
  <c r="R21" i="15"/>
  <c r="Q21" i="20"/>
  <c r="R21" i="20" s="1"/>
  <c r="R23" i="15"/>
  <c r="Q23" i="20"/>
  <c r="R23" i="20" s="1"/>
  <c r="R24" i="15"/>
  <c r="Q24" i="20"/>
  <c r="R24" i="20" s="1"/>
  <c r="R30" i="15"/>
  <c r="Q30" i="20"/>
  <c r="R30" i="20" s="1"/>
  <c r="Q27" i="15"/>
  <c r="Q26" i="15"/>
  <c r="Q25" i="15"/>
  <c r="R27" i="15" l="1"/>
  <c r="Q27" i="20"/>
  <c r="R27" i="20" s="1"/>
  <c r="R26" i="15"/>
  <c r="Q26" i="20"/>
  <c r="R26" i="20" s="1"/>
  <c r="R25" i="15"/>
  <c r="Q25" i="20"/>
  <c r="R25" i="20" s="1"/>
</calcChain>
</file>

<file path=xl/sharedStrings.xml><?xml version="1.0" encoding="utf-8"?>
<sst xmlns="http://schemas.openxmlformats.org/spreadsheetml/2006/main" count="1127" uniqueCount="90">
  <si>
    <t>North America</t>
  </si>
  <si>
    <t>Europe</t>
  </si>
  <si>
    <t>Latin America</t>
  </si>
  <si>
    <t>Russia</t>
  </si>
  <si>
    <t>China</t>
  </si>
  <si>
    <t>India</t>
  </si>
  <si>
    <t>Australia</t>
  </si>
  <si>
    <t>Mexico</t>
  </si>
  <si>
    <t>Brazil</t>
  </si>
  <si>
    <t>GCC</t>
  </si>
  <si>
    <t>South Africa</t>
  </si>
  <si>
    <t>Argentina</t>
  </si>
  <si>
    <t>Canada</t>
  </si>
  <si>
    <t>CAGR (2024-2036)</t>
  </si>
  <si>
    <t>Technology</t>
  </si>
  <si>
    <t>Product</t>
  </si>
  <si>
    <t>Instruments</t>
  </si>
  <si>
    <t>Consumables</t>
  </si>
  <si>
    <t>Method</t>
  </si>
  <si>
    <t>Conventional</t>
  </si>
  <si>
    <t>Automated</t>
  </si>
  <si>
    <t>Culture-Based</t>
  </si>
  <si>
    <t>Molecular Technology</t>
  </si>
  <si>
    <t>PCR</t>
  </si>
  <si>
    <t>Microarray</t>
  </si>
  <si>
    <t>PNA-FISH</t>
  </si>
  <si>
    <t>Proteomic Technologies</t>
  </si>
  <si>
    <t>Application</t>
  </si>
  <si>
    <t>Bacteremia</t>
  </si>
  <si>
    <t>Fungemia</t>
  </si>
  <si>
    <t>Mycobacterial Infection</t>
  </si>
  <si>
    <t>Japan</t>
  </si>
  <si>
    <t>Asia Pacific</t>
  </si>
  <si>
    <t>NORDIC</t>
  </si>
  <si>
    <t>Phenotypic AST</t>
  </si>
  <si>
    <t>Genotypic AST</t>
  </si>
  <si>
    <t>Historical</t>
  </si>
  <si>
    <t>Estimated</t>
  </si>
  <si>
    <t>Forecast</t>
  </si>
  <si>
    <t>Rest EU</t>
  </si>
  <si>
    <t>Rest LA</t>
  </si>
  <si>
    <t>APAC</t>
  </si>
  <si>
    <t>Rest</t>
  </si>
  <si>
    <t>MEA</t>
  </si>
  <si>
    <t>Base Year</t>
  </si>
  <si>
    <t>Middle East and Africa</t>
  </si>
  <si>
    <t>Israel</t>
  </si>
  <si>
    <t>Regional Share (%)</t>
  </si>
  <si>
    <t>USD Millions</t>
  </si>
  <si>
    <t>Global Base Number</t>
  </si>
  <si>
    <t>CAGR % (2027-2036)</t>
  </si>
  <si>
    <t xml:space="preserve"> Test Type</t>
  </si>
  <si>
    <t xml:space="preserve">US Blood Culture Test Market </t>
  </si>
  <si>
    <t xml:space="preserve">Canada Blood Culture Test Market </t>
  </si>
  <si>
    <t>North America Blood Culture Test Market, 2023-36 (USD Million)</t>
  </si>
  <si>
    <t>Europe Blood Culture Test Market, 2023-36 (USD Million)</t>
  </si>
  <si>
    <t xml:space="preserve">Germany Blood Culture Test Market </t>
  </si>
  <si>
    <t xml:space="preserve">UK Blood Culture Test Market </t>
  </si>
  <si>
    <t xml:space="preserve">France Blood Culture Test Market </t>
  </si>
  <si>
    <t xml:space="preserve">Italy Blood Culture Test Market </t>
  </si>
  <si>
    <t xml:space="preserve">NORDIC Blood Culture Test Market </t>
  </si>
  <si>
    <t xml:space="preserve">Spain Blood Culture Test Market </t>
  </si>
  <si>
    <t xml:space="preserve">Rest of Europe Blood Culture Test Market </t>
  </si>
  <si>
    <t xml:space="preserve">Russia Blood Culture Test Market </t>
  </si>
  <si>
    <t>APAC Blood Culture Test Market, 2023-36 (USD Million)</t>
  </si>
  <si>
    <t xml:space="preserve">China Blood Culture Test Market </t>
  </si>
  <si>
    <t xml:space="preserve">India Blood Culture Test Market </t>
  </si>
  <si>
    <t xml:space="preserve">Japan Blood Culture Test Market </t>
  </si>
  <si>
    <t xml:space="preserve">Australia Blood Culture Test Market </t>
  </si>
  <si>
    <t xml:space="preserve">Rest of APAC Blood Culture Test Market </t>
  </si>
  <si>
    <t>Latin America Blood Culture Test Market, 2023-36 (USD Million)</t>
  </si>
  <si>
    <t xml:space="preserve">Brazil Blood Culture Test Market </t>
  </si>
  <si>
    <t xml:space="preserve">Argentina Blood Culture Test Market </t>
  </si>
  <si>
    <t xml:space="preserve">Mexico Blood Culture Test Market </t>
  </si>
  <si>
    <t xml:space="preserve">Rest of LA Blood Culture Test Market </t>
  </si>
  <si>
    <t>MEA Blood Culture Test Market, 2023-36 (USD Million)</t>
  </si>
  <si>
    <t xml:space="preserve">GCC Blood Culture Test Market </t>
  </si>
  <si>
    <t xml:space="preserve">Israel Blood Culture Test Market </t>
  </si>
  <si>
    <t xml:space="preserve">South Africa Blood Culture Test Market </t>
  </si>
  <si>
    <t xml:space="preserve">Rest of MEA Blood Culture Test Market </t>
  </si>
  <si>
    <t>Global Blood Culture Test Market, 2023-36 (USD Million)</t>
  </si>
  <si>
    <t>On the basis of no test</t>
  </si>
  <si>
    <t>Population</t>
  </si>
  <si>
    <t>Disease</t>
  </si>
  <si>
    <t>United States (92-97%)</t>
  </si>
  <si>
    <t>Germany (1)</t>
  </si>
  <si>
    <t>UK (2)</t>
  </si>
  <si>
    <t>France (3)</t>
  </si>
  <si>
    <t>Italy (4)</t>
  </si>
  <si>
    <t>Spain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</si>
</sst>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0.0"/>
    <numFmt numFmtId="166" formatCode="_ * #,##0_ ;_ * \-#,##0_ ;_ * &quot;-&quot;??_ ;_ @_ "/>
    <numFmt numFmtId="167" formatCode="_ * #,##0.0_ ;_ * \-#,##0.0_ ;_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6">
    <xf numFmtId="0" fontId="0" fillId="0" borderId="0" xfId="0"/>
    <xf numFmtId="0" fontId="0" fillId="0" borderId="2" xfId="0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3" borderId="1" xfId="0" applyFill="1" applyBorder="1"/>
    <xf numFmtId="9" fontId="1" fillId="3" borderId="1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10" xfId="0" applyFont="1" applyFill="1" applyBorder="1" applyAlignment="1">
      <alignment horizontal="center"/>
    </xf>
    <xf numFmtId="9" fontId="1" fillId="2" borderId="4" xfId="0" applyNumberFormat="1" applyFont="1" applyFill="1" applyBorder="1" applyAlignment="1">
      <alignment horizontal="center"/>
    </xf>
    <xf numFmtId="43" fontId="1" fillId="2" borderId="4" xfId="0" applyNumberFormat="1" applyFont="1" applyFill="1" applyBorder="1"/>
    <xf numFmtId="0" fontId="1" fillId="0" borderId="2" xfId="0" applyFont="1" applyBorder="1" applyAlignment="1">
      <alignment horizontal="center"/>
    </xf>
    <xf numFmtId="9" fontId="0" fillId="0" borderId="0" xfId="0" applyNumberFormat="1"/>
    <xf numFmtId="164" fontId="3" fillId="4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left"/>
    </xf>
    <xf numFmtId="9" fontId="1" fillId="0" borderId="0" xfId="0" applyNumberFormat="1" applyFont="1" applyAlignment="1">
      <alignment horizontal="center"/>
    </xf>
    <xf numFmtId="43" fontId="0" fillId="0" borderId="0" xfId="0" applyNumberFormat="1"/>
    <xf numFmtId="0" fontId="1" fillId="0" borderId="6" xfId="0" applyFont="1" applyBorder="1" applyAlignment="1">
      <alignment horizontal="left"/>
    </xf>
    <xf numFmtId="9" fontId="1" fillId="0" borderId="7" xfId="0" applyNumberFormat="1" applyFont="1" applyBorder="1" applyAlignment="1">
      <alignment horizontal="center"/>
    </xf>
    <xf numFmtId="43" fontId="0" fillId="0" borderId="7" xfId="0" applyNumberFormat="1" applyBorder="1"/>
    <xf numFmtId="165" fontId="1" fillId="0" borderId="0" xfId="0" applyNumberFormat="1" applyFont="1" applyAlignment="1">
      <alignment horizontal="center"/>
    </xf>
    <xf numFmtId="0" fontId="0" fillId="0" borderId="9" xfId="0" applyBorder="1"/>
    <xf numFmtId="0" fontId="1" fillId="2" borderId="3" xfId="0" applyFont="1" applyFill="1" applyBorder="1" applyAlignment="1">
      <alignment horizontal="left"/>
    </xf>
    <xf numFmtId="166" fontId="1" fillId="2" borderId="4" xfId="0" applyNumberFormat="1" applyFont="1" applyFill="1" applyBorder="1"/>
    <xf numFmtId="43" fontId="0" fillId="2" borderId="4" xfId="0" applyNumberFormat="1" applyFill="1" applyBorder="1"/>
    <xf numFmtId="166" fontId="0" fillId="0" borderId="0" xfId="0" applyNumberFormat="1"/>
    <xf numFmtId="0" fontId="0" fillId="0" borderId="6" xfId="0" applyBorder="1"/>
    <xf numFmtId="0" fontId="1" fillId="2" borderId="3" xfId="0" applyFont="1" applyFill="1" applyBorder="1"/>
    <xf numFmtId="166" fontId="0" fillId="2" borderId="4" xfId="0" applyNumberFormat="1" applyFill="1" applyBorder="1"/>
    <xf numFmtId="0" fontId="1" fillId="0" borderId="0" xfId="0" applyFont="1"/>
    <xf numFmtId="0" fontId="1" fillId="7" borderId="11" xfId="0" applyFont="1" applyFill="1" applyBorder="1"/>
    <xf numFmtId="9" fontId="1" fillId="7" borderId="11" xfId="0" applyNumberFormat="1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1" fillId="7" borderId="0" xfId="0" applyFont="1" applyFill="1"/>
    <xf numFmtId="166" fontId="7" fillId="8" borderId="0" xfId="2" applyNumberFormat="1" applyFont="1" applyFill="1" applyAlignment="1">
      <alignment horizontal="center"/>
    </xf>
    <xf numFmtId="43" fontId="1" fillId="0" borderId="0" xfId="0" applyNumberFormat="1" applyFont="1"/>
    <xf numFmtId="167" fontId="1" fillId="2" borderId="4" xfId="0" applyNumberFormat="1" applyFont="1" applyFill="1" applyBorder="1"/>
    <xf numFmtId="10" fontId="1" fillId="0" borderId="0" xfId="0" applyNumberFormat="1" applyFont="1"/>
    <xf numFmtId="43" fontId="1" fillId="0" borderId="7" xfId="0" applyNumberFormat="1" applyFont="1" applyBorder="1"/>
    <xf numFmtId="43" fontId="0" fillId="0" borderId="0" xfId="0" applyNumberFormat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43" fontId="0" fillId="0" borderId="11" xfId="0" applyNumberFormat="1" applyBorder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6" fillId="7" borderId="0" xfId="0" applyFont="1" applyFill="1"/>
    <xf numFmtId="0" fontId="0" fillId="4" borderId="11" xfId="0" applyFill="1" applyBorder="1"/>
    <xf numFmtId="0" fontId="0" fillId="5" borderId="11" xfId="0" applyFill="1" applyBorder="1"/>
    <xf numFmtId="0" fontId="0" fillId="0" borderId="3" xfId="0" applyBorder="1"/>
    <xf numFmtId="0" fontId="0" fillId="0" borderId="4" xfId="0" applyBorder="1"/>
    <xf numFmtId="0" fontId="0" fillId="4" borderId="15" xfId="0" applyFill="1" applyBorder="1"/>
    <xf numFmtId="0" fontId="0" fillId="9" borderId="17" xfId="0" applyFill="1" applyBorder="1"/>
    <xf numFmtId="0" fontId="0" fillId="9" borderId="15" xfId="0" applyFill="1" applyBorder="1"/>
    <xf numFmtId="0" fontId="0" fillId="10" borderId="17" xfId="0" applyFill="1" applyBorder="1"/>
    <xf numFmtId="0" fontId="0" fillId="10" borderId="15" xfId="0" applyFill="1" applyBorder="1"/>
    <xf numFmtId="0" fontId="0" fillId="4" borderId="17" xfId="0" applyFill="1" applyBorder="1"/>
    <xf numFmtId="0" fontId="0" fillId="5" borderId="17" xfId="0" applyFill="1" applyBorder="1"/>
    <xf numFmtId="0" fontId="0" fillId="5" borderId="15" xfId="0" applyFill="1" applyBorder="1"/>
    <xf numFmtId="0" fontId="0" fillId="9" borderId="19" xfId="0" applyFill="1" applyBorder="1" applyAlignment="1">
      <alignment horizontal="left"/>
    </xf>
    <xf numFmtId="0" fontId="0" fillId="9" borderId="20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10" borderId="19" xfId="0" applyFill="1" applyBorder="1" applyAlignment="1">
      <alignment horizontal="left"/>
    </xf>
    <xf numFmtId="0" fontId="0" fillId="10" borderId="20" xfId="0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 indent="4"/>
    </xf>
    <xf numFmtId="0" fontId="1" fillId="5" borderId="20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/>
    <xf numFmtId="0" fontId="7" fillId="11" borderId="13" xfId="0" applyFont="1" applyFill="1" applyBorder="1" applyAlignment="1">
      <alignment horizontal="center"/>
    </xf>
    <xf numFmtId="0" fontId="7" fillId="11" borderId="28" xfId="0" applyFont="1" applyFill="1" applyBorder="1" applyAlignment="1">
      <alignment horizontal="center"/>
    </xf>
    <xf numFmtId="9" fontId="5" fillId="0" borderId="0" xfId="0" applyNumberFormat="1" applyFont="1"/>
    <xf numFmtId="164" fontId="4" fillId="12" borderId="29" xfId="0" applyNumberFormat="1" applyFont="1" applyFill="1" applyBorder="1" applyAlignment="1">
      <alignment horizontal="center"/>
    </xf>
    <xf numFmtId="164" fontId="1" fillId="10" borderId="18" xfId="0" applyNumberFormat="1" applyFont="1" applyFill="1" applyBorder="1" applyAlignment="1">
      <alignment horizontal="center"/>
    </xf>
    <xf numFmtId="164" fontId="1" fillId="10" borderId="16" xfId="0" applyNumberFormat="1" applyFont="1" applyFill="1" applyBorder="1" applyAlignment="1">
      <alignment horizontal="center"/>
    </xf>
    <xf numFmtId="164" fontId="1" fillId="4" borderId="18" xfId="0" applyNumberFormat="1" applyFont="1" applyFill="1" applyBorder="1" applyAlignment="1">
      <alignment horizontal="center"/>
    </xf>
    <xf numFmtId="164" fontId="1" fillId="4" borderId="16" xfId="0" applyNumberFormat="1" applyFont="1" applyFill="1" applyBorder="1" applyAlignment="1">
      <alignment horizontal="center"/>
    </xf>
    <xf numFmtId="164" fontId="4" fillId="12" borderId="18" xfId="0" applyNumberFormat="1" applyFont="1" applyFill="1" applyBorder="1" applyAlignment="1">
      <alignment horizontal="center"/>
    </xf>
    <xf numFmtId="164" fontId="4" fillId="12" borderId="14" xfId="0" applyNumberFormat="1" applyFont="1" applyFill="1" applyBorder="1" applyAlignment="1">
      <alignment horizontal="center"/>
    </xf>
    <xf numFmtId="164" fontId="4" fillId="12" borderId="16" xfId="0" applyNumberFormat="1" applyFont="1" applyFill="1" applyBorder="1" applyAlignment="1">
      <alignment horizontal="center"/>
    </xf>
    <xf numFmtId="164" fontId="1" fillId="4" borderId="14" xfId="0" applyNumberFormat="1" applyFont="1" applyFill="1" applyBorder="1" applyAlignment="1">
      <alignment horizontal="center"/>
    </xf>
    <xf numFmtId="164" fontId="0" fillId="9" borderId="18" xfId="1" applyNumberFormat="1" applyFont="1" applyFill="1" applyBorder="1" applyAlignment="1">
      <alignment horizontal="center"/>
    </xf>
    <xf numFmtId="164" fontId="0" fillId="9" borderId="30" xfId="1" applyNumberFormat="1" applyFont="1" applyFill="1" applyBorder="1" applyAlignment="1">
      <alignment horizontal="center"/>
    </xf>
    <xf numFmtId="167" fontId="0" fillId="9" borderId="17" xfId="0" applyNumberFormat="1" applyFill="1" applyBorder="1"/>
    <xf numFmtId="167" fontId="0" fillId="9" borderId="15" xfId="0" applyNumberFormat="1" applyFill="1" applyBorder="1"/>
    <xf numFmtId="167" fontId="0" fillId="0" borderId="0" xfId="0" applyNumberFormat="1"/>
    <xf numFmtId="167" fontId="0" fillId="10" borderId="17" xfId="0" applyNumberFormat="1" applyFill="1" applyBorder="1"/>
    <xf numFmtId="167" fontId="0" fillId="10" borderId="15" xfId="0" applyNumberFormat="1" applyFill="1" applyBorder="1"/>
    <xf numFmtId="167" fontId="0" fillId="4" borderId="17" xfId="0" applyNumberFormat="1" applyFill="1" applyBorder="1"/>
    <xf numFmtId="167" fontId="0" fillId="4" borderId="15" xfId="0" applyNumberFormat="1" applyFill="1" applyBorder="1"/>
    <xf numFmtId="167" fontId="0" fillId="5" borderId="17" xfId="0" applyNumberFormat="1" applyFill="1" applyBorder="1"/>
    <xf numFmtId="167" fontId="0" fillId="5" borderId="11" xfId="0" applyNumberFormat="1" applyFill="1" applyBorder="1"/>
    <xf numFmtId="167" fontId="3" fillId="5" borderId="11" xfId="0" applyNumberFormat="1" applyFont="1" applyFill="1" applyBorder="1"/>
    <xf numFmtId="167" fontId="0" fillId="5" borderId="15" xfId="0" applyNumberFormat="1" applyFill="1" applyBorder="1"/>
    <xf numFmtId="167" fontId="0" fillId="4" borderId="11" xfId="0" applyNumberFormat="1" applyFill="1" applyBorder="1"/>
    <xf numFmtId="0" fontId="7" fillId="11" borderId="31" xfId="0" applyFont="1" applyFill="1" applyBorder="1" applyAlignment="1">
      <alignment horizontal="center"/>
    </xf>
    <xf numFmtId="167" fontId="4" fillId="12" borderId="32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4" fillId="8" borderId="12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4E-4747-941F-A3966749775D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4E-4747-941F-A3966749775D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4E-4747-941F-A3966749775D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E-4747-941F-A3966749775D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4E-4747-941F-A3966749775D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4E-4747-941F-A3966749775D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4E-4747-941F-A3966749775D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4E-4747-941F-A3966749775D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4E-4747-941F-A3966749775D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4E-4747-941F-A3966749775D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4E-4747-941F-A3966749775D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E-4747-941F-A3966749775D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C4E-4747-941F-A3966749775D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4E-4747-941F-A396674977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'North America'!$D$13:$Q$13</c:f>
              <c:numCache>
                <c:formatCode>_ * #,##0.0_ ;_ * \-#,##0.0_ ;_ * "-"??_ ;_ @_ </c:formatCode>
                <c:ptCount val="14"/>
                <c:pt idx="0">
                  <c:v>1989.9880000000001</c:v>
                </c:pt>
                <c:pt idx="1">
                  <c:v>2271.4121029600001</c:v>
                </c:pt>
                <c:pt idx="2">
                  <c:v>2596.1077595441948</c:v>
                </c:pt>
                <c:pt idx="3">
                  <c:v>2971.233181887007</c:v>
                </c:pt>
                <c:pt idx="4">
                  <c:v>3405.2109126721521</c:v>
                </c:pt>
                <c:pt idx="5">
                  <c:v>3907.9648618525744</c:v>
                </c:pt>
                <c:pt idx="6">
                  <c:v>4491.2042902532585</c:v>
                </c:pt>
                <c:pt idx="7">
                  <c:v>5168.7645240530783</c:v>
                </c:pt>
                <c:pt idx="8">
                  <c:v>5957.0163225063034</c:v>
                </c:pt>
                <c:pt idx="9">
                  <c:v>6875.3584483240638</c:v>
                </c:pt>
                <c:pt idx="10">
                  <c:v>7946.8112223783965</c:v>
                </c:pt>
                <c:pt idx="11">
                  <c:v>9198.7328271987044</c:v>
                </c:pt>
                <c:pt idx="12">
                  <c:v>10663.68503882474</c:v>
                </c:pt>
                <c:pt idx="13">
                  <c:v>12380.48114145476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E-4747-941F-A39667497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Application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'North America'!$B$30</c:f>
              <c:strCache>
                <c:ptCount val="1"/>
                <c:pt idx="0">
                  <c:v>Bacteremia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'North America'!$D$30:$Q$30</c:f>
              <c:numCache>
                <c:formatCode>_ * #,##0.0_ ;_ * \-#,##0.0_ ;_ * "-"??_ ;_ @_ </c:formatCode>
                <c:ptCount val="14"/>
                <c:pt idx="0">
                  <c:v>797.98518799999999</c:v>
                </c:pt>
                <c:pt idx="1">
                  <c:v>914.58613963708763</c:v>
                </c:pt>
                <c:pt idx="2">
                  <c:v>1049.6287128998592</c:v>
                </c:pt>
                <c:pt idx="3">
                  <c:v>1206.2408471802471</c:v>
                </c:pt>
                <c:pt idx="4">
                  <c:v>1388.1155466885793</c:v>
                </c:pt>
                <c:pt idx="5">
                  <c:v>1599.6190192920651</c:v>
                </c:pt>
                <c:pt idx="6">
                  <c:v>1845.9206427454758</c:v>
                </c:pt>
                <c:pt idx="7">
                  <c:v>2133.1493880672169</c:v>
                </c:pt>
                <c:pt idx="8">
                  <c:v>2468.5823584872905</c:v>
                </c:pt>
                <c:pt idx="9">
                  <c:v>2860.87236982988</c:v>
                </c:pt>
                <c:pt idx="10">
                  <c:v>3320.3230621456446</c:v>
                </c:pt>
                <c:pt idx="11">
                  <c:v>3859.2219651574801</c:v>
                </c:pt>
                <c:pt idx="12">
                  <c:v>4492.2443322280305</c:v>
                </c:pt>
                <c:pt idx="13">
                  <c:v>5236.943522835355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800-4740-9247-4B29BFE76FE6}"/>
            </c:ext>
          </c:extLst>
        </c:ser>
        <c:ser>
          <c:idx val="0"/>
          <c:order val="1"/>
          <c:tx>
            <c:strRef>
              <c:f>'North America'!$B$31</c:f>
              <c:strCache>
                <c:ptCount val="1"/>
                <c:pt idx="0">
                  <c:v>Fungemia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'North America'!$D$31:$Q$31</c:f>
              <c:numCache>
                <c:formatCode>_ * #,##0.0_ ;_ * \-#,##0.0_ ;_ * "-"??_ ;_ @_ </c:formatCode>
                <c:ptCount val="14"/>
                <c:pt idx="0">
                  <c:v>857.68482800000015</c:v>
                </c:pt>
                <c:pt idx="1">
                  <c:v>980.8783044892125</c:v>
                </c:pt>
                <c:pt idx="2">
                  <c:v>1123.2691501591717</c:v>
                </c:pt>
                <c:pt idx="3">
                  <c:v>1288.0709204966263</c:v>
                </c:pt>
                <c:pt idx="4">
                  <c:v>1479.0708526805795</c:v>
                </c:pt>
                <c:pt idx="5">
                  <c:v>1700.7384699645465</c:v>
                </c:pt>
                <c:pt idx="6">
                  <c:v>1958.3558894248845</c:v>
                </c:pt>
                <c:pt idx="7">
                  <c:v>2258.1743939536132</c:v>
                </c:pt>
                <c:pt idx="8">
                  <c:v>2607.602833972066</c:v>
                </c:pt>
                <c:pt idx="9">
                  <c:v>3015.4346602138808</c:v>
                </c:pt>
                <c:pt idx="10">
                  <c:v>3492.1219115827048</c:v>
                </c:pt>
                <c:pt idx="11">
                  <c:v>4050.106360902249</c:v>
                </c:pt>
                <c:pt idx="12">
                  <c:v>4704.2203431685111</c:v>
                </c:pt>
                <c:pt idx="13">
                  <c:v>5472.1726645230074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800-4740-9247-4B29BFE76FE6}"/>
            </c:ext>
          </c:extLst>
        </c:ser>
        <c:ser>
          <c:idx val="2"/>
          <c:order val="2"/>
          <c:tx>
            <c:strRef>
              <c:f>'North America'!$B$32</c:f>
              <c:strCache>
                <c:ptCount val="1"/>
                <c:pt idx="0">
                  <c:v>Mycobacterial Infection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'North America'!$D$32:$Q$32</c:f>
              <c:numCache>
                <c:formatCode>_ * #,##0.0_ ;_ * \-#,##0.0_ ;_ * "-"??_ ;_ @_ </c:formatCode>
                <c:ptCount val="14"/>
                <c:pt idx="0">
                  <c:v>334.31798400000014</c:v>
                </c:pt>
                <c:pt idx="1">
                  <c:v>375.94765883369996</c:v>
                </c:pt>
                <c:pt idx="2">
                  <c:v>423.20989648516371</c:v>
                </c:pt>
                <c:pt idx="3">
                  <c:v>476.92141421013326</c:v>
                </c:pt>
                <c:pt idx="4">
                  <c:v>538.024513302993</c:v>
                </c:pt>
                <c:pt idx="5">
                  <c:v>607.60737259596237</c:v>
                </c:pt>
                <c:pt idx="6">
                  <c:v>686.92775808289798</c:v>
                </c:pt>
                <c:pt idx="7">
                  <c:v>777.44074203224829</c:v>
                </c:pt>
                <c:pt idx="8">
                  <c:v>880.8311300469461</c:v>
                </c:pt>
                <c:pt idx="9">
                  <c:v>999.05141828030355</c:v>
                </c:pt>
                <c:pt idx="10">
                  <c:v>1134.3662486500473</c:v>
                </c:pt>
                <c:pt idx="11">
                  <c:v>1289.4045011389758</c:v>
                </c:pt>
                <c:pt idx="12">
                  <c:v>1467.2203634281987</c:v>
                </c:pt>
                <c:pt idx="13">
                  <c:v>1671.3649540963968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800-4740-9247-4B29BFE76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5F-4D54-848D-98F52CBCDC87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5F-4D54-848D-98F52CBCDC87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5F-4D54-848D-98F52CBCDC87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5F-4D54-848D-98F52CBCDC87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5F-4D54-848D-98F52CBCDC87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5F-4D54-848D-98F52CBCDC87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5F-4D54-848D-98F52CBCDC87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5F-4D54-848D-98F52CBCDC87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5F-4D54-848D-98F52CBCDC87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5F-4D54-848D-98F52CBCDC87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5F-4D54-848D-98F52CBCDC87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5F-4D54-848D-98F52CBCDC87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5F-4D54-848D-98F52CBCDC87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5F-4D54-848D-98F52CBCDC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'Global-'!$D$12:$Q$12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'Global-'!$D$13:$Q$13</c:f>
              <c:numCache>
                <c:formatCode>_ * #,##0.0_ ;_ * \-#,##0.0_ ;_ * "-"??_ ;_ @_ </c:formatCode>
                <c:ptCount val="14"/>
                <c:pt idx="0">
                  <c:v>5467</c:v>
                </c:pt>
                <c:pt idx="1">
                  <c:v>6149.3791312800004</c:v>
                </c:pt>
                <c:pt idx="2">
                  <c:v>6913.5935838427531</c:v>
                </c:pt>
                <c:pt idx="3">
                  <c:v>7783.3528091473381</c:v>
                </c:pt>
                <c:pt idx="4">
                  <c:v>8774.4611333440007</c:v>
                </c:pt>
                <c:pt idx="5">
                  <c:v>9905.2859515133605</c:v>
                </c:pt>
                <c:pt idx="6">
                  <c:v>11197.209403994741</c:v>
                </c:pt>
                <c:pt idx="7">
                  <c:v>12675.166284564613</c:v>
                </c:pt>
                <c:pt idx="8">
                  <c:v>14368.285844397558</c:v>
                </c:pt>
                <c:pt idx="9">
                  <c:v>16310.658999079347</c:v>
                </c:pt>
                <c:pt idx="10">
                  <c:v>18542.257171710513</c:v>
                </c:pt>
                <c:pt idx="11">
                  <c:v>21110.034826324139</c:v>
                </c:pt>
                <c:pt idx="12">
                  <c:v>24069.254929314684</c:v>
                </c:pt>
                <c:pt idx="13">
                  <c:v>27485.085457347268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5F-4D54-848D-98F52CBCD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Application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'Global-'!$B$30</c:f>
              <c:strCache>
                <c:ptCount val="1"/>
                <c:pt idx="0">
                  <c:v>Bacteremia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'Global-'!$D$12:$Q$12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'Global-'!$D$30:$Q$30</c:f>
              <c:numCache>
                <c:formatCode>_ * #,##0.0_ ;_ * \-#,##0.0_ ;_ * "-"??_ ;_ @_ </c:formatCode>
                <c:ptCount val="14"/>
                <c:pt idx="0">
                  <c:v>2112.4684812</c:v>
                </c:pt>
                <c:pt idx="1">
                  <c:v>2231.9887308851371</c:v>
                </c:pt>
                <c:pt idx="2">
                  <c:v>2524.4978903603087</c:v>
                </c:pt>
                <c:pt idx="3">
                  <c:v>2858.814722962964</c:v>
                </c:pt>
                <c:pt idx="4">
                  <c:v>3241.3520074184421</c:v>
                </c:pt>
                <c:pt idx="5">
                  <c:v>3679.5800754641009</c:v>
                </c:pt>
                <c:pt idx="6">
                  <c:v>4182.2152876906994</c:v>
                </c:pt>
                <c:pt idx="7">
                  <c:v>4759.4447665186262</c:v>
                </c:pt>
                <c:pt idx="8">
                  <c:v>5423.1948513590332</c:v>
                </c:pt>
                <c:pt idx="9">
                  <c:v>6187.4523695327207</c:v>
                </c:pt>
                <c:pt idx="10">
                  <c:v>7068.6498187403658</c:v>
                </c:pt>
                <c:pt idx="11">
                  <c:v>8086.1280225892133</c:v>
                </c:pt>
                <c:pt idx="12">
                  <c:v>9262.6928621902007</c:v>
                </c:pt>
                <c:pt idx="13">
                  <c:v>10625.286444837519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5-4DDC-AEB7-12E38EBBA7B2}"/>
            </c:ext>
          </c:extLst>
        </c:ser>
        <c:ser>
          <c:idx val="0"/>
          <c:order val="1"/>
          <c:tx>
            <c:strRef>
              <c:f>'Global-'!$B$31</c:f>
              <c:strCache>
                <c:ptCount val="1"/>
                <c:pt idx="0">
                  <c:v>Fungemia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'Global-'!$D$12:$Q$12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'Global-'!$D$31:$Q$31</c:f>
              <c:numCache>
                <c:formatCode>_ * #,##0.0_ ;_ * \-#,##0.0_ ;_ * "-"??_ ;_ @_ </c:formatCode>
                <c:ptCount val="14"/>
                <c:pt idx="0">
                  <c:v>2270.5085171999999</c:v>
                </c:pt>
                <c:pt idx="1">
                  <c:v>2393.7705013312052</c:v>
                </c:pt>
                <c:pt idx="2">
                  <c:v>2701.6130228081784</c:v>
                </c:pt>
                <c:pt idx="3">
                  <c:v>3052.7536191003837</c:v>
                </c:pt>
                <c:pt idx="4">
                  <c:v>3453.7393438803329</c:v>
                </c:pt>
                <c:pt idx="5">
                  <c:v>3912.1836588479782</c:v>
                </c:pt>
                <c:pt idx="6">
                  <c:v>4436.9545200547291</c:v>
                </c:pt>
                <c:pt idx="7">
                  <c:v>5038.398323770014</c:v>
                </c:pt>
                <c:pt idx="8">
                  <c:v>5728.6070343029778</c:v>
                </c:pt>
                <c:pt idx="9">
                  <c:v>6521.7374008966881</c:v>
                </c:pt>
                <c:pt idx="10">
                  <c:v>7434.3931163664492</c:v>
                </c:pt>
                <c:pt idx="11">
                  <c:v>8486.0831626257877</c:v>
                </c:pt>
                <c:pt idx="12">
                  <c:v>9699.7725351295649</c:v>
                </c:pt>
                <c:pt idx="13">
                  <c:v>11102.545174038283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5-4DDC-AEB7-12E38EBBA7B2}"/>
            </c:ext>
          </c:extLst>
        </c:ser>
        <c:ser>
          <c:idx val="2"/>
          <c:order val="2"/>
          <c:tx>
            <c:strRef>
              <c:f>'Global-'!$B$32</c:f>
              <c:strCache>
                <c:ptCount val="1"/>
                <c:pt idx="0">
                  <c:v>Mycobacterial Infection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'Global-'!$D$12:$Q$12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'Global-'!$D$32:$Q$32</c:f>
              <c:numCache>
                <c:formatCode>_ * #,##0.0_ ;_ * \-#,##0.0_ ;_ * "-"??_ ;_ @_ </c:formatCode>
                <c:ptCount val="14"/>
                <c:pt idx="0">
                  <c:v>885.0242016000002</c:v>
                </c:pt>
                <c:pt idx="1">
                  <c:v>917.47611466365754</c:v>
                </c:pt>
                <c:pt idx="2">
                  <c:v>1017.8765860022082</c:v>
                </c:pt>
                <c:pt idx="3">
                  <c:v>1130.3132072068784</c:v>
                </c:pt>
                <c:pt idx="4">
                  <c:v>1256.3268529015568</c:v>
                </c:pt>
                <c:pt idx="5">
                  <c:v>1397.6702920790822</c:v>
                </c:pt>
                <c:pt idx="6">
                  <c:v>1556.339804034317</c:v>
                </c:pt>
                <c:pt idx="7">
                  <c:v>1734.6118802754697</c:v>
                </c:pt>
                <c:pt idx="8">
                  <c:v>1935.0858734624428</c:v>
                </c:pt>
                <c:pt idx="9">
                  <c:v>2160.7336036773545</c:v>
                </c:pt>
                <c:pt idx="10">
                  <c:v>2414.9571074339096</c:v>
                </c:pt>
                <c:pt idx="11">
                  <c:v>2701.6559200908987</c:v>
                </c:pt>
                <c:pt idx="12">
                  <c:v>3025.3055226953816</c:v>
                </c:pt>
                <c:pt idx="13">
                  <c:v>3391.0488653736902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5-4DDC-AEB7-12E38EBBA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85-4EEA-9BCE-CFC7876A3CBD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85-4EEA-9BCE-CFC7876A3CBD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85-4EEA-9BCE-CFC7876A3CBD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85-4EEA-9BCE-CFC7876A3CBD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85-4EEA-9BCE-CFC7876A3CBD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85-4EEA-9BCE-CFC7876A3CBD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85-4EEA-9BCE-CFC7876A3CBD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85-4EEA-9BCE-CFC7876A3CBD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85-4EEA-9BCE-CFC7876A3CBD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85-4EEA-9BCE-CFC7876A3CBD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485-4EEA-9BCE-CFC7876A3CBD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85-4EEA-9BCE-CFC7876A3CBD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485-4EEA-9BCE-CFC7876A3CBD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485-4EEA-9BCE-CFC7876A3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Europe!$D$13:$Q$13</c:f>
              <c:numCache>
                <c:formatCode>_ * #,##0.0_ ;_ * \-#,##0.0_ ;_ * "-"??_ ;_ @_ </c:formatCode>
                <c:ptCount val="14"/>
                <c:pt idx="0">
                  <c:v>1366.7499999999998</c:v>
                </c:pt>
                <c:pt idx="1">
                  <c:v>1520.4137024999998</c:v>
                </c:pt>
                <c:pt idx="2">
                  <c:v>1693.4951827370496</c:v>
                </c:pt>
                <c:pt idx="3">
                  <c:v>1888.6097120130084</c:v>
                </c:pt>
                <c:pt idx="4">
                  <c:v>2108.7414940276285</c:v>
                </c:pt>
                <c:pt idx="5">
                  <c:v>2357.2983491427681</c:v>
                </c:pt>
                <c:pt idx="6">
                  <c:v>2638.1750562337074</c:v>
                </c:pt>
                <c:pt idx="7">
                  <c:v>2955.8268458113535</c:v>
                </c:pt>
                <c:pt idx="8">
                  <c:v>3315.3548222225136</c:v>
                </c:pt>
                <c:pt idx="9">
                  <c:v>3722.6054362461464</c:v>
                </c:pt>
                <c:pt idx="10">
                  <c:v>4184.2865457527787</c:v>
                </c:pt>
                <c:pt idx="11">
                  <c:v>4708.1031079839249</c:v>
                </c:pt>
                <c:pt idx="12">
                  <c:v>5302.9161632200285</c:v>
                </c:pt>
                <c:pt idx="13">
                  <c:v>5978.929522050541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85-4EEA-9BCE-CFC7876A3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Application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Europe!$B$30</c:f>
              <c:strCache>
                <c:ptCount val="1"/>
                <c:pt idx="0">
                  <c:v>Bacteremia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Europe!$D$30:$Q$30</c:f>
              <c:numCache>
                <c:formatCode>_ * #,##0.0_ ;_ * \-#,##0.0_ ;_ * "-"??_ ;_ @_ </c:formatCode>
                <c:ptCount val="14"/>
                <c:pt idx="0">
                  <c:v>548.06674999999996</c:v>
                </c:pt>
                <c:pt idx="1">
                  <c:v>612.19595378958593</c:v>
                </c:pt>
                <c:pt idx="2">
                  <c:v>684.69467895681214</c:v>
                </c:pt>
                <c:pt idx="3">
                  <c:v>766.7248039969046</c:v>
                </c:pt>
                <c:pt idx="4">
                  <c:v>859.61690094256903</c:v>
                </c:pt>
                <c:pt idx="5">
                  <c:v>964.8959002274695</c:v>
                </c:pt>
                <c:pt idx="6">
                  <c:v>1084.3109065527269</c:v>
                </c:pt>
                <c:pt idx="7">
                  <c:v>1219.8698930921528</c:v>
                </c:pt>
                <c:pt idx="8">
                  <c:v>1373.8801411947293</c:v>
                </c:pt>
                <c:pt idx="9">
                  <c:v>1548.995462037492</c:v>
                </c:pt>
                <c:pt idx="10">
                  <c:v>1748.2714421811324</c:v>
                </c:pt>
                <c:pt idx="11">
                  <c:v>1975.2302050597732</c:v>
                </c:pt>
                <c:pt idx="12">
                  <c:v>2233.9364855369954</c:v>
                </c:pt>
                <c:pt idx="13">
                  <c:v>2529.0871878273751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C-46BB-9D88-64A9EC17D2A9}"/>
            </c:ext>
          </c:extLst>
        </c:ser>
        <c:ser>
          <c:idx val="0"/>
          <c:order val="1"/>
          <c:tx>
            <c:strRef>
              <c:f>Europe!$B$31</c:f>
              <c:strCache>
                <c:ptCount val="1"/>
                <c:pt idx="0">
                  <c:v>Fungemia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Europe!$D$31:$Q$31</c:f>
              <c:numCache>
                <c:formatCode>_ * #,##0.0_ ;_ * \-#,##0.0_ ;_ * "-"??_ ;_ @_ </c:formatCode>
                <c:ptCount val="14"/>
                <c:pt idx="0">
                  <c:v>589.0692499999999</c:v>
                </c:pt>
                <c:pt idx="1">
                  <c:v>656.56989882501682</c:v>
                </c:pt>
                <c:pt idx="2">
                  <c:v>732.73187051591424</c:v>
                </c:pt>
                <c:pt idx="3">
                  <c:v>818.73858472006521</c:v>
                </c:pt>
                <c:pt idx="4">
                  <c:v>915.94270065545652</c:v>
                </c:pt>
                <c:pt idx="5">
                  <c:v>1025.891513689425</c:v>
                </c:pt>
                <c:pt idx="6">
                  <c:v>1150.3564132946108</c:v>
                </c:pt>
                <c:pt idx="7">
                  <c:v>1291.3671081571854</c:v>
                </c:pt>
                <c:pt idx="8">
                  <c:v>1451.2514591219226</c:v>
                </c:pt>
                <c:pt idx="9">
                  <c:v>1632.6819238775124</c:v>
                </c:pt>
                <c:pt idx="10">
                  <c:v>1838.7298152517026</c:v>
                </c:pt>
                <c:pt idx="11">
                  <c:v>2072.9288157003934</c:v>
                </c:pt>
                <c:pt idx="12">
                  <c:v>2339.3494840022117</c:v>
                </c:pt>
                <c:pt idx="13">
                  <c:v>2642.6868487463407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C-46BB-9D88-64A9EC17D2A9}"/>
            </c:ext>
          </c:extLst>
        </c:ser>
        <c:ser>
          <c:idx val="2"/>
          <c:order val="2"/>
          <c:tx>
            <c:strRef>
              <c:f>Europe!$B$32</c:f>
              <c:strCache>
                <c:ptCount val="1"/>
                <c:pt idx="0">
                  <c:v>Mycobacterial Infection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Europe!$D$32:$Q$32</c:f>
              <c:numCache>
                <c:formatCode>_ * #,##0.0_ ;_ * \-#,##0.0_ ;_ * "-"??_ ;_ @_ </c:formatCode>
                <c:ptCount val="14"/>
                <c:pt idx="0">
                  <c:v>229.61400000000006</c:v>
                </c:pt>
                <c:pt idx="1">
                  <c:v>251.64784988539719</c:v>
                </c:pt>
                <c:pt idx="2">
                  <c:v>276.0686332643233</c:v>
                </c:pt>
                <c:pt idx="3">
                  <c:v>303.14632329603876</c:v>
                </c:pt>
                <c:pt idx="4">
                  <c:v>333.18189242960233</c:v>
                </c:pt>
                <c:pt idx="5">
                  <c:v>366.51093522587303</c:v>
                </c:pt>
                <c:pt idx="6">
                  <c:v>403.50773638636952</c:v>
                </c:pt>
                <c:pt idx="7">
                  <c:v>444.58984456201574</c:v>
                </c:pt>
                <c:pt idx="8">
                  <c:v>490.22322190586186</c:v>
                </c:pt>
                <c:pt idx="9">
                  <c:v>540.92805033114178</c:v>
                </c:pt>
                <c:pt idx="10">
                  <c:v>597.28528831994367</c:v>
                </c:pt>
                <c:pt idx="11">
                  <c:v>659.94408722375863</c:v>
                </c:pt>
                <c:pt idx="12">
                  <c:v>729.63019368082007</c:v>
                </c:pt>
                <c:pt idx="13">
                  <c:v>807.15548547682499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C-46BB-9D88-64A9EC17D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CC-4D82-A6B5-EA8DC9112812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CC-4D82-A6B5-EA8DC9112812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CC-4D82-A6B5-EA8DC9112812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CC-4D82-A6B5-EA8DC9112812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CC-4D82-A6B5-EA8DC9112812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CC-4D82-A6B5-EA8DC9112812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CC-4D82-A6B5-EA8DC9112812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CC-4D82-A6B5-EA8DC9112812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CC-4D82-A6B5-EA8DC9112812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CC-4D82-A6B5-EA8DC9112812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CC-4D82-A6B5-EA8DC9112812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CC-4D82-A6B5-EA8DC9112812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CC-4D82-A6B5-EA8DC9112812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CC-4D82-A6B5-EA8DC91128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APAC!$D$12:$Q$12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APAC!$D$13:$Q$13</c:f>
              <c:numCache>
                <c:formatCode>_ * #,##0.0_ ;_ * \-#,##0.0_ ;_ * "-"??_ ;_ @_ </c:formatCode>
                <c:ptCount val="14"/>
                <c:pt idx="0">
                  <c:v>1279.278</c:v>
                </c:pt>
                <c:pt idx="1">
                  <c:v>1438.0236070200001</c:v>
                </c:pt>
                <c:pt idx="2">
                  <c:v>1614.2143834835315</c:v>
                </c:pt>
                <c:pt idx="3">
                  <c:v>1812.28150829585</c:v>
                </c:pt>
                <c:pt idx="4">
                  <c:v>2034.9743317448847</c:v>
                </c:pt>
                <c:pt idx="5">
                  <c:v>2285.4046687777068</c:v>
                </c:pt>
                <c:pt idx="6">
                  <c:v>2567.1000478577198</c:v>
                </c:pt>
                <c:pt idx="7">
                  <c:v>2884.0659664440373</c:v>
                </c:pt>
                <c:pt idx="8">
                  <c:v>3240.8588548404196</c:v>
                </c:pt>
                <c:pt idx="9">
                  <c:v>3642.6717922941634</c:v>
                </c:pt>
                <c:pt idx="10">
                  <c:v>4095.435433003408</c:v>
                </c:pt>
                <c:pt idx="11">
                  <c:v>4605.9371007516274</c:v>
                </c:pt>
                <c:pt idx="12">
                  <c:v>5181.9616184302631</c:v>
                </c:pt>
                <c:pt idx="13">
                  <c:v>5832.45817634173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CC-4D82-A6B5-EA8DC911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Application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APAC!$B$30</c:f>
              <c:strCache>
                <c:ptCount val="1"/>
                <c:pt idx="0">
                  <c:v>Bacteremia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APAC!$D$12:$Q$12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APAC!$D$30:$Q$30</c:f>
              <c:numCache>
                <c:formatCode>_ * #,##0.0_ ;_ * \-#,##0.0_ ;_ * "-"??_ ;_ @_ </c:formatCode>
                <c:ptCount val="14"/>
                <c:pt idx="0">
                  <c:v>512.99047799999994</c:v>
                </c:pt>
                <c:pt idx="1">
                  <c:v>579.02150725423996</c:v>
                </c:pt>
                <c:pt idx="2">
                  <c:v>652.64076941772851</c:v>
                </c:pt>
                <c:pt idx="3">
                  <c:v>735.73760390880534</c:v>
                </c:pt>
                <c:pt idx="4">
                  <c:v>829.5461219436196</c:v>
                </c:pt>
                <c:pt idx="5">
                  <c:v>935.46817952264746</c:v>
                </c:pt>
                <c:pt idx="6">
                  <c:v>1055.0985134693688</c:v>
                </c:pt>
                <c:pt idx="7">
                  <c:v>1190.2541744427137</c:v>
                </c:pt>
                <c:pt idx="8">
                  <c:v>1343.0090774101484</c:v>
                </c:pt>
                <c:pt idx="9">
                  <c:v>1515.734657510596</c:v>
                </c:pt>
                <c:pt idx="10">
                  <c:v>1711.1478223412309</c:v>
                </c:pt>
                <c:pt idx="11">
                  <c:v>1932.3676383769457</c:v>
                </c:pt>
                <c:pt idx="12">
                  <c:v>2182.982489211076</c:v>
                </c:pt>
                <c:pt idx="13">
                  <c:v>2467.1298085925482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2-4E21-B60E-8E5440F968C1}"/>
            </c:ext>
          </c:extLst>
        </c:ser>
        <c:ser>
          <c:idx val="0"/>
          <c:order val="1"/>
          <c:tx>
            <c:strRef>
              <c:f>APAC!$B$31</c:f>
              <c:strCache>
                <c:ptCount val="1"/>
                <c:pt idx="0">
                  <c:v>Fungemia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APAC!$D$12:$Q$12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APAC!$D$31:$Q$31</c:f>
              <c:numCache>
                <c:formatCode>_ * #,##0.0_ ;_ * \-#,##0.0_ ;_ * "-"??_ ;_ @_ </c:formatCode>
                <c:ptCount val="14"/>
                <c:pt idx="0">
                  <c:v>551.36881800000003</c:v>
                </c:pt>
                <c:pt idx="1">
                  <c:v>620.99086098515818</c:v>
                </c:pt>
                <c:pt idx="2">
                  <c:v>698.42910489532426</c:v>
                </c:pt>
                <c:pt idx="3">
                  <c:v>785.64924652164939</c:v>
                </c:pt>
                <c:pt idx="4">
                  <c:v>883.90155477185397</c:v>
                </c:pt>
                <c:pt idx="5">
                  <c:v>994.60352818634374</c:v>
                </c:pt>
                <c:pt idx="6">
                  <c:v>1119.364689861743</c:v>
                </c:pt>
                <c:pt idx="7">
                  <c:v>1260.0155966846141</c:v>
                </c:pt>
                <c:pt idx="8">
                  <c:v>1418.6418631181116</c:v>
                </c:pt>
                <c:pt idx="9">
                  <c:v>1597.6241618274832</c:v>
                </c:pt>
                <c:pt idx="10">
                  <c:v>1799.6853596810417</c:v>
                </c:pt>
                <c:pt idx="11">
                  <c:v>2027.9461856433441</c:v>
                </c:pt>
                <c:pt idx="12">
                  <c:v>2285.9911160340025</c:v>
                </c:pt>
                <c:pt idx="13">
                  <c:v>2577.9465139430467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2-4E21-B60E-8E5440F968C1}"/>
            </c:ext>
          </c:extLst>
        </c:ser>
        <c:ser>
          <c:idx val="2"/>
          <c:order val="2"/>
          <c:tx>
            <c:strRef>
              <c:f>APAC!$B$32</c:f>
              <c:strCache>
                <c:ptCount val="1"/>
                <c:pt idx="0">
                  <c:v>Mycobacterial Infection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APAC!$D$12:$Q$12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APAC!$D$32:$Q$32</c:f>
              <c:numCache>
                <c:formatCode>_ * #,##0.0_ ;_ * \-#,##0.0_ ;_ * "-"??_ ;_ @_ </c:formatCode>
                <c:ptCount val="14"/>
                <c:pt idx="0">
                  <c:v>214.91870400000005</c:v>
                </c:pt>
                <c:pt idx="1">
                  <c:v>238.01123878060184</c:v>
                </c:pt>
                <c:pt idx="2">
                  <c:v>263.1445091704785</c:v>
                </c:pt>
                <c:pt idx="3">
                  <c:v>290.89465786539512</c:v>
                </c:pt>
                <c:pt idx="4">
                  <c:v>321.52665502941107</c:v>
                </c:pt>
                <c:pt idx="5">
                  <c:v>355.33296106871529</c:v>
                </c:pt>
                <c:pt idx="6">
                  <c:v>392.636844526608</c:v>
                </c:pt>
                <c:pt idx="7">
                  <c:v>433.79619531670903</c:v>
                </c:pt>
                <c:pt idx="8">
                  <c:v>479.20791431215991</c:v>
                </c:pt>
                <c:pt idx="9">
                  <c:v>529.31297295608397</c:v>
                </c:pt>
                <c:pt idx="10">
                  <c:v>584.60225098113528</c:v>
                </c:pt>
                <c:pt idx="11">
                  <c:v>645.62327673133802</c:v>
                </c:pt>
                <c:pt idx="12">
                  <c:v>712.98801318518429</c:v>
                </c:pt>
                <c:pt idx="13">
                  <c:v>787.38185380613572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2-4E21-B60E-8E5440F96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0C-4CF0-9BAA-7C0B1FA1D61D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0C-4CF0-9BAA-7C0B1FA1D61D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0C-4CF0-9BAA-7C0B1FA1D61D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0C-4CF0-9BAA-7C0B1FA1D61D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0C-4CF0-9BAA-7C0B1FA1D61D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0C-4CF0-9BAA-7C0B1FA1D61D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0C-4CF0-9BAA-7C0B1FA1D61D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0C-4CF0-9BAA-7C0B1FA1D61D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0C-4CF0-9BAA-7C0B1FA1D61D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0C-4CF0-9BAA-7C0B1FA1D61D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0C-4CF0-9BAA-7C0B1FA1D61D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0C-4CF0-9BAA-7C0B1FA1D61D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0C-4CF0-9BAA-7C0B1FA1D61D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0C-4CF0-9BAA-7C0B1FA1D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MEA!$D$12:$Q$12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MEA!$D$13:$Q$13</c:f>
              <c:numCache>
                <c:formatCode>_ * #,##0.0_ ;_ * \-#,##0.0_ ;_ * "-"??_ ;_ @_ </c:formatCode>
                <c:ptCount val="14"/>
                <c:pt idx="0">
                  <c:v>284.28400000000028</c:v>
                </c:pt>
                <c:pt idx="1">
                  <c:v>307.08357680000029</c:v>
                </c:pt>
                <c:pt idx="2">
                  <c:v>324.44817124639212</c:v>
                </c:pt>
                <c:pt idx="3">
                  <c:v>342.97580214214793</c:v>
                </c:pt>
                <c:pt idx="4">
                  <c:v>362.75617198836312</c:v>
                </c:pt>
                <c:pt idx="5">
                  <c:v>383.88681357416795</c:v>
                </c:pt>
                <c:pt idx="6">
                  <c:v>406.47385301941029</c:v>
                </c:pt>
                <c:pt idx="7">
                  <c:v>430.6328548245591</c:v>
                </c:pt>
                <c:pt idx="8">
                  <c:v>456.48975854208902</c:v>
                </c:pt>
                <c:pt idx="9">
                  <c:v>484.18191790115463</c:v>
                </c:pt>
                <c:pt idx="10">
                  <c:v>513.85925460004955</c:v>
                </c:pt>
                <c:pt idx="11">
                  <c:v>545.68554055260176</c:v>
                </c:pt>
                <c:pt idx="12">
                  <c:v>579.83982416273386</c:v>
                </c:pt>
                <c:pt idx="13">
                  <c:v>616.51801823757569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0C-4CF0-9BAA-7C0B1FA1D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Application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MEA!$B$30</c:f>
              <c:strCache>
                <c:ptCount val="1"/>
                <c:pt idx="0">
                  <c:v>Bacteremia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MEA!$D$12:$Q$12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MEA!$D$30:$Q$30</c:f>
              <c:numCache>
                <c:formatCode>_ * #,##0.0_ ;_ * \-#,##0.0_ ;_ * "-"??_ ;_ @_ </c:formatCode>
                <c:ptCount val="14"/>
                <c:pt idx="0">
                  <c:v>34.199365200000031</c:v>
                </c:pt>
                <c:pt idx="1">
                  <c:v>38.644130086268625</c:v>
                </c:pt>
                <c:pt idx="2">
                  <c:v>41.073253342801067</c:v>
                </c:pt>
                <c:pt idx="3">
                  <c:v>43.677289626061423</c:v>
                </c:pt>
                <c:pt idx="4">
                  <c:v>46.470350256077325</c:v>
                </c:pt>
                <c:pt idx="5">
                  <c:v>49.467806805115728</c:v>
                </c:pt>
                <c:pt idx="6">
                  <c:v>52.686414725291755</c:v>
                </c:pt>
                <c:pt idx="7">
                  <c:v>56.144450220770644</c:v>
                </c:pt>
                <c:pt idx="8">
                  <c:v>59.861861906538067</c:v>
                </c:pt>
                <c:pt idx="9">
                  <c:v>63.860438989870417</c:v>
                </c:pt>
                <c:pt idx="10">
                  <c:v>68.163997931101875</c:v>
                </c:pt>
                <c:pt idx="11">
                  <c:v>72.798589790878481</c:v>
                </c:pt>
                <c:pt idx="12">
                  <c:v>77.792730756216386</c:v>
                </c:pt>
                <c:pt idx="13">
                  <c:v>83.177658662439285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F-449A-A478-384146588599}"/>
            </c:ext>
          </c:extLst>
        </c:ser>
        <c:ser>
          <c:idx val="0"/>
          <c:order val="1"/>
          <c:tx>
            <c:strRef>
              <c:f>MEA!$B$31</c:f>
              <c:strCache>
                <c:ptCount val="1"/>
                <c:pt idx="0">
                  <c:v>Fungemia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MEA!$D$12:$Q$12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MEA!$D$31:$Q$31</c:f>
              <c:numCache>
                <c:formatCode>_ * #,##0.0_ ;_ * \-#,##0.0_ ;_ * "-"??_ ;_ @_ </c:formatCode>
                <c:ptCount val="14"/>
                <c:pt idx="0">
                  <c:v>36.757921200000034</c:v>
                </c:pt>
                <c:pt idx="1">
                  <c:v>41.445181765514945</c:v>
                </c:pt>
                <c:pt idx="2">
                  <c:v>43.954893582491202</c:v>
                </c:pt>
                <c:pt idx="3">
                  <c:v>46.640309673605259</c:v>
                </c:pt>
                <c:pt idx="4">
                  <c:v>49.51528764416436</c:v>
                </c:pt>
                <c:pt idx="5">
                  <c:v>52.594899812749205</c:v>
                </c:pt>
                <c:pt idx="6">
                  <c:v>55.895550534879547</c:v>
                </c:pt>
                <c:pt idx="7">
                  <c:v>59.435105933214899</c:v>
                </c:pt>
                <c:pt idx="8">
                  <c:v>63.233037462840137</c:v>
                </c:pt>
                <c:pt idx="9">
                  <c:v>67.310580918358141</c:v>
                </c:pt>
                <c:pt idx="10">
                  <c:v>71.690912691627005</c:v>
                </c:pt>
                <c:pt idx="11">
                  <c:v>76.399345318485473</c:v>
                </c:pt>
                <c:pt idx="12">
                  <c:v>81.463544613683254</c:v>
                </c:pt>
                <c:pt idx="13">
                  <c:v>86.91377099006678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F-449A-A478-384146588599}"/>
            </c:ext>
          </c:extLst>
        </c:ser>
        <c:ser>
          <c:idx val="2"/>
          <c:order val="2"/>
          <c:tx>
            <c:strRef>
              <c:f>MEA!$B$32</c:f>
              <c:strCache>
                <c:ptCount val="1"/>
                <c:pt idx="0">
                  <c:v>Mycobacterial Infection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MEA!$D$12:$Q$12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MEA!$D$32:$Q$32</c:f>
              <c:numCache>
                <c:formatCode>_ * #,##0.0_ ;_ * \-#,##0.0_ ;_ * "-"??_ ;_ @_ </c:formatCode>
                <c:ptCount val="14"/>
                <c:pt idx="0">
                  <c:v>14.327913600000018</c:v>
                </c:pt>
                <c:pt idx="1">
                  <c:v>15.884966548216536</c:v>
                </c:pt>
                <c:pt idx="2">
                  <c:v>16.560720073569623</c:v>
                </c:pt>
                <c:pt idx="3">
                  <c:v>17.269051024114503</c:v>
                </c:pt>
                <c:pt idx="4">
                  <c:v>18.011604033388732</c:v>
                </c:pt>
                <c:pt idx="5">
                  <c:v>18.790101742003046</c:v>
                </c:pt>
                <c:pt idx="6">
                  <c:v>19.606347050131959</c:v>
                </c:pt>
                <c:pt idx="7">
                  <c:v>20.462225142223915</c:v>
                </c:pt>
                <c:pt idx="8">
                  <c:v>21.359705212412351</c:v>
                </c:pt>
                <c:pt idx="9">
                  <c:v>22.300841805335988</c:v>
                </c:pt>
                <c:pt idx="10">
                  <c:v>23.287775670878943</c:v>
                </c:pt>
                <c:pt idx="11">
                  <c:v>24.32273401229417</c:v>
                </c:pt>
                <c:pt idx="12">
                  <c:v>25.408029984780001</c:v>
                </c:pt>
                <c:pt idx="13">
                  <c:v>26.546061275246686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3F-449A-A478-384146588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42-4131-806B-97AD9CB877BC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42-4131-806B-97AD9CB877BC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42-4131-806B-97AD9CB877BC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42-4131-806B-97AD9CB877BC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42-4131-806B-97AD9CB877BC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42-4131-806B-97AD9CB877BC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42-4131-806B-97AD9CB877BC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42-4131-806B-97AD9CB877BC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42-4131-806B-97AD9CB877BC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42-4131-806B-97AD9CB877BC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42-4131-806B-97AD9CB877BC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42-4131-806B-97AD9CB877BC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42-4131-806B-97AD9CB877BC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42-4131-806B-97AD9CB877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'Latin America'!$D$13:$Q$13</c:f>
              <c:numCache>
                <c:formatCode>_ * #,##0.0_ ;_ * \-#,##0.0_ ;_ * "-"??_ ;_ @_ </c:formatCode>
                <c:ptCount val="14"/>
                <c:pt idx="0">
                  <c:v>546.70000000000005</c:v>
                </c:pt>
                <c:pt idx="1">
                  <c:v>612.44614200000001</c:v>
                </c:pt>
                <c:pt idx="2">
                  <c:v>685.3280868315851</c:v>
                </c:pt>
                <c:pt idx="3">
                  <c:v>768.2526048093257</c:v>
                </c:pt>
                <c:pt idx="4">
                  <c:v>862.77822291097232</c:v>
                </c:pt>
                <c:pt idx="5">
                  <c:v>970.73125816614242</c:v>
                </c:pt>
                <c:pt idx="6">
                  <c:v>1094.2561566306454</c:v>
                </c:pt>
                <c:pt idx="7">
                  <c:v>1235.8760934315867</c:v>
                </c:pt>
                <c:pt idx="8">
                  <c:v>1398.5660862862312</c:v>
                </c:pt>
                <c:pt idx="9">
                  <c:v>1585.8414043138177</c:v>
                </c:pt>
                <c:pt idx="10">
                  <c:v>1801.8647159758802</c:v>
                </c:pt>
                <c:pt idx="11">
                  <c:v>2051.5762498372819</c:v>
                </c:pt>
                <c:pt idx="12">
                  <c:v>2340.8522846769174</c:v>
                </c:pt>
                <c:pt idx="13">
                  <c:v>2676.698599262656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42-4131-806B-97AD9CB87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Application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'Latin America'!$B$30</c:f>
              <c:strCache>
                <c:ptCount val="1"/>
                <c:pt idx="0">
                  <c:v>Bacteremia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'Latin America'!$D$30:$Q$30</c:f>
              <c:numCache>
                <c:formatCode>_ * #,##0.0_ ;_ * \-#,##0.0_ ;_ * "-"??_ ;_ @_ </c:formatCode>
                <c:ptCount val="14"/>
                <c:pt idx="0">
                  <c:v>219.22669999999999</c:v>
                </c:pt>
                <c:pt idx="1">
                  <c:v>87.541000117955292</c:v>
                </c:pt>
                <c:pt idx="2">
                  <c:v>96.460475743108034</c:v>
                </c:pt>
                <c:pt idx="3">
                  <c:v>106.43417825094558</c:v>
                </c:pt>
                <c:pt idx="4">
                  <c:v>117.60308758759683</c:v>
                </c:pt>
                <c:pt idx="5">
                  <c:v>130.12916961680338</c:v>
                </c:pt>
                <c:pt idx="6">
                  <c:v>144.19881019783662</c:v>
                </c:pt>
                <c:pt idx="7">
                  <c:v>160.02686069577251</c:v>
                </c:pt>
                <c:pt idx="8">
                  <c:v>177.8614123603262</c:v>
                </c:pt>
                <c:pt idx="9">
                  <c:v>197.98944116488281</c:v>
                </c:pt>
                <c:pt idx="10">
                  <c:v>220.743494141257</c:v>
                </c:pt>
                <c:pt idx="11">
                  <c:v>246.50962420413668</c:v>
                </c:pt>
                <c:pt idx="12">
                  <c:v>275.73682445788239</c:v>
                </c:pt>
                <c:pt idx="13">
                  <c:v>308.94826691980143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0-4AE4-9C83-60618AA20DFB}"/>
            </c:ext>
          </c:extLst>
        </c:ser>
        <c:ser>
          <c:idx val="0"/>
          <c:order val="1"/>
          <c:tx>
            <c:strRef>
              <c:f>'Latin America'!$B$31</c:f>
              <c:strCache>
                <c:ptCount val="1"/>
                <c:pt idx="0">
                  <c:v>Fungemia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'Latin America'!$D$31:$Q$31</c:f>
              <c:numCache>
                <c:formatCode>_ * #,##0.0_ ;_ * \-#,##0.0_ ;_ * "-"??_ ;_ @_ </c:formatCode>
                <c:ptCount val="14"/>
                <c:pt idx="0">
                  <c:v>235.6277</c:v>
                </c:pt>
                <c:pt idx="1">
                  <c:v>93.886255266302655</c:v>
                </c:pt>
                <c:pt idx="2">
                  <c:v>103.22800365527701</c:v>
                </c:pt>
                <c:pt idx="3">
                  <c:v>113.65455768843779</c:v>
                </c:pt>
                <c:pt idx="4">
                  <c:v>125.30894812827819</c:v>
                </c:pt>
                <c:pt idx="5">
                  <c:v>138.35524719491372</c:v>
                </c:pt>
                <c:pt idx="6">
                  <c:v>152.98197693861104</c:v>
                </c:pt>
                <c:pt idx="7">
                  <c:v>169.40611904138635</c:v>
                </c:pt>
                <c:pt idx="8">
                  <c:v>187.87784062803777</c:v>
                </c:pt>
                <c:pt idx="9">
                  <c:v>208.6860740594542</c:v>
                </c:pt>
                <c:pt idx="10">
                  <c:v>232.1651171593731</c:v>
                </c:pt>
                <c:pt idx="11">
                  <c:v>258.70245506131607</c:v>
                </c:pt>
                <c:pt idx="12">
                  <c:v>288.74804731115671</c:v>
                </c:pt>
                <c:pt idx="13">
                  <c:v>322.82537583582155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0-4AE4-9C83-60618AA20DFB}"/>
            </c:ext>
          </c:extLst>
        </c:ser>
        <c:ser>
          <c:idx val="2"/>
          <c:order val="2"/>
          <c:tx>
            <c:strRef>
              <c:f>'Latin America'!$B$32</c:f>
              <c:strCache>
                <c:ptCount val="1"/>
                <c:pt idx="0">
                  <c:v>Mycobacterial Infection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America'!$D$12:$Q$12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'Latin America'!$D$32:$Q$32</c:f>
              <c:numCache>
                <c:formatCode>_ * #,##0.0_ ;_ * \-#,##0.0_ ;_ * "-"??_ ;_ @_ </c:formatCode>
                <c:ptCount val="14"/>
                <c:pt idx="0">
                  <c:v>91.845600000000033</c:v>
                </c:pt>
                <c:pt idx="1">
                  <c:v>35.984400615742025</c:v>
                </c:pt>
                <c:pt idx="2">
                  <c:v>38.892827008673073</c:v>
                </c:pt>
                <c:pt idx="3">
                  <c:v>42.081760811196652</c:v>
                </c:pt>
                <c:pt idx="4">
                  <c:v>45.58218810616151</c:v>
                </c:pt>
                <c:pt idx="5">
                  <c:v>49.428921446528378</c:v>
                </c:pt>
                <c:pt idx="6">
                  <c:v>53.661117988309577</c:v>
                </c:pt>
                <c:pt idx="7">
                  <c:v>58.322873222272577</c:v>
                </c:pt>
                <c:pt idx="8">
                  <c:v>63.463901985062563</c:v>
                </c:pt>
                <c:pt idx="9">
                  <c:v>69.140320304489165</c:v>
                </c:pt>
                <c:pt idx="10">
                  <c:v>75.415543811904399</c:v>
                </c:pt>
                <c:pt idx="11">
                  <c:v>82.361320984531901</c:v>
                </c:pt>
                <c:pt idx="12">
                  <c:v>90.058922416398829</c:v>
                </c:pt>
                <c:pt idx="13">
                  <c:v>98.60051071908596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0-4AE4-9C83-60618AA20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F5C7D-FCE2-B7E1-C751-2FE57948A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535783</xdr:colOff>
      <xdr:row>2</xdr:row>
      <xdr:rowOff>83343</xdr:rowOff>
    </xdr:from>
    <xdr:to>
      <xdr:col>18</xdr:col>
      <xdr:colOff>0</xdr:colOff>
      <xdr:row>10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2ACA4-CB07-4E9A-B45A-5A5EA3940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ACB45-90CD-44E9-A8CC-3B2525EA8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535783</xdr:colOff>
      <xdr:row>2</xdr:row>
      <xdr:rowOff>83343</xdr:rowOff>
    </xdr:from>
    <xdr:to>
      <xdr:col>18</xdr:col>
      <xdr:colOff>0</xdr:colOff>
      <xdr:row>10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BCE5B-90B1-4CA2-902D-BD9D3F01A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8782F-CC50-45E0-935C-BBC498AA3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535783</xdr:colOff>
      <xdr:row>2</xdr:row>
      <xdr:rowOff>83343</xdr:rowOff>
    </xdr:from>
    <xdr:to>
      <xdr:col>18</xdr:col>
      <xdr:colOff>0</xdr:colOff>
      <xdr:row>10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5104A7-AB82-41D4-9888-A0275D7B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F3017-F649-4BDF-9232-A76C240C8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535783</xdr:colOff>
      <xdr:row>2</xdr:row>
      <xdr:rowOff>83343</xdr:rowOff>
    </xdr:from>
    <xdr:to>
      <xdr:col>18</xdr:col>
      <xdr:colOff>0</xdr:colOff>
      <xdr:row>10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99F3D4-061F-4597-9F36-A99D9C431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B9B59-F680-4843-BE71-ACA14EBE5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535783</xdr:colOff>
      <xdr:row>2</xdr:row>
      <xdr:rowOff>83343</xdr:rowOff>
    </xdr:from>
    <xdr:to>
      <xdr:col>18</xdr:col>
      <xdr:colOff>0</xdr:colOff>
      <xdr:row>10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677392-D50F-46BF-8A21-94A95C261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085C0-D848-4017-A6DF-A8B2E9D6A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535783</xdr:colOff>
      <xdr:row>2</xdr:row>
      <xdr:rowOff>83343</xdr:rowOff>
    </xdr:from>
    <xdr:to>
      <xdr:col>18</xdr:col>
      <xdr:colOff>0</xdr:colOff>
      <xdr:row>10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8D37DD-29B5-41CD-A28E-755C3002D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EF9D-D209-4B26-89CF-6145107C5C1B}">
  <dimension ref="A1:Q65"/>
  <sheetViews>
    <sheetView tabSelected="1" workbookViewId="0">
      <selection activeCell="H3" sqref="H3"/>
    </sheetView>
  </sheetViews>
  <sheetFormatPr defaultRowHeight="15" x14ac:dyDescent="0.25"/>
  <cols>
    <col min="1" max="1" width="22.28515625" customWidth="1"/>
    <col min="2" max="2" width="14.140625" customWidth="1"/>
    <col min="4" max="4" width="21.140625" customWidth="1"/>
    <col min="5" max="5" width="15.42578125" customWidth="1"/>
    <col min="6" max="6" width="12.140625" customWidth="1"/>
    <col min="7" max="7" width="11.28515625" customWidth="1"/>
    <col min="10" max="10" width="12.42578125" customWidth="1"/>
    <col min="16" max="16" width="10.7109375" customWidth="1"/>
    <col min="17" max="17" width="20.140625" customWidth="1"/>
  </cols>
  <sheetData>
    <row r="1" spans="1:17" x14ac:dyDescent="0.25">
      <c r="A1" s="108" t="s">
        <v>47</v>
      </c>
      <c r="B1" s="108"/>
    </row>
    <row r="2" spans="1:17" x14ac:dyDescent="0.25">
      <c r="A2" s="30" t="s">
        <v>0</v>
      </c>
      <c r="B2" s="31">
        <v>0.36399999999999999</v>
      </c>
      <c r="C2" s="16"/>
      <c r="E2" s="3" t="s">
        <v>48</v>
      </c>
      <c r="H2" t="s">
        <v>81</v>
      </c>
    </row>
    <row r="3" spans="1:17" ht="15.75" x14ac:dyDescent="0.25">
      <c r="A3" s="30" t="s">
        <v>1</v>
      </c>
      <c r="B3" s="31">
        <v>0.25</v>
      </c>
      <c r="C3" s="16"/>
      <c r="D3" s="46" t="s">
        <v>49</v>
      </c>
      <c r="E3" s="35">
        <v>5467</v>
      </c>
      <c r="G3" s="29"/>
      <c r="H3" s="12" t="s">
        <v>82</v>
      </c>
    </row>
    <row r="4" spans="1:17" x14ac:dyDescent="0.25">
      <c r="A4" s="30" t="s">
        <v>32</v>
      </c>
      <c r="B4" s="31">
        <v>0.23400000000000001</v>
      </c>
      <c r="C4" s="16"/>
      <c r="H4" t="s">
        <v>83</v>
      </c>
    </row>
    <row r="5" spans="1:17" x14ac:dyDescent="0.25">
      <c r="A5" s="30" t="s">
        <v>2</v>
      </c>
      <c r="B5" s="31">
        <v>0.1</v>
      </c>
      <c r="C5" s="16"/>
      <c r="E5" s="34"/>
      <c r="F5" s="38">
        <v>0.14499999999999999</v>
      </c>
    </row>
    <row r="6" spans="1:17" x14ac:dyDescent="0.25">
      <c r="A6" s="30" t="s">
        <v>45</v>
      </c>
      <c r="B6" s="31">
        <f>1-SUM(B2:B5)</f>
        <v>5.2000000000000046E-2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7" x14ac:dyDescent="0.25">
      <c r="B7" s="15">
        <f>SUM(B2:B6)</f>
        <v>1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7" x14ac:dyDescent="0.25">
      <c r="A8" s="4"/>
      <c r="B8" s="5"/>
      <c r="C8" s="6" t="s">
        <v>36</v>
      </c>
      <c r="D8" s="6" t="s">
        <v>36</v>
      </c>
      <c r="E8" s="6" t="s">
        <v>44</v>
      </c>
      <c r="F8" s="6" t="s">
        <v>37</v>
      </c>
      <c r="G8" s="7" t="s">
        <v>38</v>
      </c>
      <c r="H8" s="7" t="s">
        <v>38</v>
      </c>
      <c r="I8" s="7" t="s">
        <v>38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</row>
    <row r="9" spans="1:17" ht="15.75" thickBot="1" x14ac:dyDescent="0.3">
      <c r="C9" s="8">
        <v>2023</v>
      </c>
      <c r="D9" s="8">
        <f>C9+1</f>
        <v>2024</v>
      </c>
      <c r="E9" s="8">
        <f t="shared" ref="E9:P9" si="0">D9+1</f>
        <v>2025</v>
      </c>
      <c r="F9" s="8">
        <f t="shared" si="0"/>
        <v>2026</v>
      </c>
      <c r="G9" s="8">
        <f t="shared" si="0"/>
        <v>2027</v>
      </c>
      <c r="H9" s="8">
        <f t="shared" si="0"/>
        <v>2028</v>
      </c>
      <c r="I9" s="8">
        <f t="shared" si="0"/>
        <v>2029</v>
      </c>
      <c r="J9" s="8">
        <f t="shared" si="0"/>
        <v>2030</v>
      </c>
      <c r="K9" s="8">
        <f t="shared" si="0"/>
        <v>2031</v>
      </c>
      <c r="L9" s="8">
        <f t="shared" si="0"/>
        <v>2032</v>
      </c>
      <c r="M9" s="8">
        <f t="shared" si="0"/>
        <v>2033</v>
      </c>
      <c r="N9" s="8">
        <f t="shared" si="0"/>
        <v>2034</v>
      </c>
      <c r="O9" s="8">
        <f t="shared" si="0"/>
        <v>2035</v>
      </c>
      <c r="P9" s="8">
        <f t="shared" si="0"/>
        <v>2036</v>
      </c>
      <c r="Q9" s="33" t="s">
        <v>50</v>
      </c>
    </row>
    <row r="10" spans="1:17" x14ac:dyDescent="0.25">
      <c r="A10" s="22" t="s">
        <v>0</v>
      </c>
      <c r="B10" s="9">
        <f>B2</f>
        <v>0.36399999999999999</v>
      </c>
      <c r="C10" s="37">
        <f>B10*E3</f>
        <v>1989.9880000000001</v>
      </c>
      <c r="D10" s="10">
        <f>D12+D14</f>
        <v>2271.4121029600001</v>
      </c>
      <c r="E10" s="10">
        <f t="shared" ref="E10:P10" si="1">E12+E14</f>
        <v>2596.1077595441948</v>
      </c>
      <c r="F10" s="10">
        <f t="shared" si="1"/>
        <v>2971.233181887007</v>
      </c>
      <c r="G10" s="10">
        <f t="shared" si="1"/>
        <v>3405.2109126721521</v>
      </c>
      <c r="H10" s="10">
        <f t="shared" si="1"/>
        <v>3907.9648618525744</v>
      </c>
      <c r="I10" s="10">
        <f t="shared" si="1"/>
        <v>4491.2042902532585</v>
      </c>
      <c r="J10" s="10">
        <f t="shared" si="1"/>
        <v>5168.7645240530783</v>
      </c>
      <c r="K10" s="10">
        <f t="shared" si="1"/>
        <v>5957.0163225063034</v>
      </c>
      <c r="L10" s="10">
        <f t="shared" si="1"/>
        <v>6875.3584483240638</v>
      </c>
      <c r="M10" s="10">
        <f t="shared" si="1"/>
        <v>7946.8112223783965</v>
      </c>
      <c r="N10" s="10">
        <f t="shared" si="1"/>
        <v>9198.7328271987044</v>
      </c>
      <c r="O10" s="10">
        <f t="shared" si="1"/>
        <v>10663.68503882474</v>
      </c>
      <c r="P10" s="10">
        <f t="shared" si="1"/>
        <v>12380.48114145476</v>
      </c>
      <c r="Q10" s="45">
        <f>RATE(9,,-G10,P10)</f>
        <v>0.154218862543575</v>
      </c>
    </row>
    <row r="11" spans="1:17" x14ac:dyDescent="0.25">
      <c r="A11" s="11"/>
      <c r="B11" s="3"/>
      <c r="C11" s="12"/>
      <c r="D11" s="13">
        <v>0.14199999999999999</v>
      </c>
      <c r="E11" s="13">
        <v>0.14356786220084167</v>
      </c>
      <c r="F11" s="13">
        <v>0.14515303561211171</v>
      </c>
      <c r="G11" s="13">
        <v>0.14675571137178534</v>
      </c>
      <c r="H11" s="13">
        <v>0.14837608272824626</v>
      </c>
      <c r="I11" s="13">
        <v>0.15001434506358835</v>
      </c>
      <c r="J11" s="13">
        <v>0.15167069591717439</v>
      </c>
      <c r="K11" s="13">
        <v>0.1533453350094553</v>
      </c>
      <c r="L11" s="13">
        <v>0.15503846426605197</v>
      </c>
      <c r="M11" s="13">
        <v>0.15675028784210329</v>
      </c>
      <c r="N11" s="13">
        <v>0.15848101214688273</v>
      </c>
      <c r="O11" s="13">
        <v>0.16023084586868716</v>
      </c>
      <c r="P11" s="13">
        <v>0.16199999999999987</v>
      </c>
    </row>
    <row r="12" spans="1:17" x14ac:dyDescent="0.25">
      <c r="A12" s="14" t="s">
        <v>84</v>
      </c>
      <c r="B12" s="15">
        <v>0.94199999999999995</v>
      </c>
      <c r="C12" s="36">
        <f>B12*C10</f>
        <v>1874.568696</v>
      </c>
      <c r="D12" s="40">
        <f>C12*(1+D11)</f>
        <v>2140.7574508319999</v>
      </c>
      <c r="E12" s="40">
        <f t="shared" ref="E12:P12" si="2">D12*(1+E11)</f>
        <v>2448.1014215384735</v>
      </c>
      <c r="F12" s="40">
        <f t="shared" si="2"/>
        <v>2803.4507743611089</v>
      </c>
      <c r="G12" s="40">
        <f t="shared" si="2"/>
        <v>3214.8731870482557</v>
      </c>
      <c r="H12" s="40">
        <f t="shared" si="2"/>
        <v>3691.8834770105486</v>
      </c>
      <c r="I12" s="40">
        <f t="shared" si="2"/>
        <v>4245.71895886537</v>
      </c>
      <c r="J12" s="40">
        <f t="shared" si="2"/>
        <v>4889.6701080252215</v>
      </c>
      <c r="K12" s="40">
        <f t="shared" si="2"/>
        <v>5639.478208826069</v>
      </c>
      <c r="L12" s="40">
        <f t="shared" si="2"/>
        <v>6513.8142495843285</v>
      </c>
      <c r="M12" s="40">
        <f t="shared" si="2"/>
        <v>7534.8565081566658</v>
      </c>
      <c r="N12" s="40">
        <f t="shared" si="2"/>
        <v>8728.9881939508614</v>
      </c>
      <c r="O12" s="40">
        <f t="shared" si="2"/>
        <v>10127.641355845391</v>
      </c>
      <c r="P12" s="40">
        <f t="shared" si="2"/>
        <v>11768.319255492344</v>
      </c>
      <c r="Q12" s="44">
        <f>RATE(9,,-G12,P12)</f>
        <v>0.15509241698342596</v>
      </c>
    </row>
    <row r="13" spans="1:17" x14ac:dyDescent="0.25">
      <c r="A13" s="14"/>
      <c r="B13" s="3"/>
      <c r="C13" s="29"/>
      <c r="D13" s="13">
        <v>0.13200000000000001</v>
      </c>
      <c r="E13" s="13">
        <v>0.13280572559117043</v>
      </c>
      <c r="F13" s="13">
        <v>0.13361636931664592</v>
      </c>
      <c r="G13" s="13">
        <v>0.13443196119662848</v>
      </c>
      <c r="H13" s="13">
        <v>0.13525253143456298</v>
      </c>
      <c r="I13" s="13">
        <v>0.13607811041825546</v>
      </c>
      <c r="J13" s="13">
        <v>0.13690872872099871</v>
      </c>
      <c r="K13" s="13">
        <v>0.1377444171027041</v>
      </c>
      <c r="L13" s="13">
        <v>0.13858520651104125</v>
      </c>
      <c r="M13" s="13">
        <v>0.13943112808258357</v>
      </c>
      <c r="N13" s="13">
        <v>0.14028221314396158</v>
      </c>
      <c r="O13" s="13">
        <v>0.14113849321302305</v>
      </c>
      <c r="P13" s="13">
        <v>0.14200000000000007</v>
      </c>
    </row>
    <row r="14" spans="1:17" ht="15.75" thickBot="1" x14ac:dyDescent="0.3">
      <c r="A14" s="17" t="s">
        <v>12</v>
      </c>
      <c r="B14" s="18">
        <f>1-B12</f>
        <v>5.8000000000000052E-2</v>
      </c>
      <c r="C14" s="39">
        <f>B14*C10</f>
        <v>115.41930400000011</v>
      </c>
      <c r="D14" s="40">
        <f>C14*(1+D13)</f>
        <v>130.65465212800015</v>
      </c>
      <c r="E14" s="40">
        <f t="shared" ref="E14:P14" si="3">D14*(1+E13)</f>
        <v>148.00633800572118</v>
      </c>
      <c r="F14" s="40">
        <f t="shared" si="3"/>
        <v>167.78240752589795</v>
      </c>
      <c r="G14" s="40">
        <f t="shared" si="3"/>
        <v>190.33772562389638</v>
      </c>
      <c r="H14" s="40">
        <f t="shared" si="3"/>
        <v>216.08138484202564</v>
      </c>
      <c r="I14" s="40">
        <f t="shared" si="3"/>
        <v>245.48533138788832</v>
      </c>
      <c r="J14" s="40">
        <f t="shared" si="3"/>
        <v>279.09441602785716</v>
      </c>
      <c r="K14" s="40">
        <f t="shared" si="3"/>
        <v>317.53811368023395</v>
      </c>
      <c r="L14" s="40">
        <f t="shared" si="3"/>
        <v>361.54419873973569</v>
      </c>
      <c r="M14" s="40">
        <f t="shared" si="3"/>
        <v>411.9547142217308</v>
      </c>
      <c r="N14" s="40">
        <f t="shared" si="3"/>
        <v>469.74463324784341</v>
      </c>
      <c r="O14" s="40">
        <f t="shared" si="3"/>
        <v>536.0436829793482</v>
      </c>
      <c r="P14" s="40">
        <f t="shared" si="3"/>
        <v>612.16188596241568</v>
      </c>
      <c r="Q14" s="44">
        <f>RATE(9,,-G14,P14)</f>
        <v>0.1386002317280835</v>
      </c>
    </row>
    <row r="15" spans="1:17" ht="15.75" thickBot="1" x14ac:dyDescent="0.3">
      <c r="A15" s="1"/>
      <c r="B15" s="15">
        <f>B14+B12</f>
        <v>1</v>
      </c>
      <c r="C15" s="20">
        <f>C14+C12</f>
        <v>1989.9880000000001</v>
      </c>
      <c r="P15" s="21"/>
    </row>
    <row r="16" spans="1:17" x14ac:dyDescent="0.25">
      <c r="A16" s="22" t="s">
        <v>1</v>
      </c>
      <c r="B16" s="9">
        <f>B3</f>
        <v>0.25</v>
      </c>
      <c r="C16" s="23">
        <f>B16*E3</f>
        <v>1366.75</v>
      </c>
      <c r="D16" s="10">
        <f>D18+D20+D22+D24+D26+D28+D30+D32</f>
        <v>1520.4137024999998</v>
      </c>
      <c r="E16" s="10">
        <f t="shared" ref="E16:P16" si="4">E18+E20+E22+E24+E26+E28+E30+E32</f>
        <v>1693.4951827370496</v>
      </c>
      <c r="F16" s="10">
        <f t="shared" si="4"/>
        <v>1888.6097120130084</v>
      </c>
      <c r="G16" s="10">
        <f t="shared" si="4"/>
        <v>2108.7414940276285</v>
      </c>
      <c r="H16" s="10">
        <f t="shared" si="4"/>
        <v>2357.2983491427681</v>
      </c>
      <c r="I16" s="10">
        <f t="shared" si="4"/>
        <v>2638.1750562337074</v>
      </c>
      <c r="J16" s="10">
        <f t="shared" si="4"/>
        <v>2955.8268458113535</v>
      </c>
      <c r="K16" s="10">
        <f t="shared" si="4"/>
        <v>3315.3548222225136</v>
      </c>
      <c r="L16" s="10">
        <f t="shared" si="4"/>
        <v>3722.6054362461464</v>
      </c>
      <c r="M16" s="10">
        <f t="shared" si="4"/>
        <v>4184.2865457527787</v>
      </c>
      <c r="N16" s="10">
        <f t="shared" si="4"/>
        <v>4708.1031079839249</v>
      </c>
      <c r="O16" s="10">
        <f t="shared" si="4"/>
        <v>5302.9161632200285</v>
      </c>
      <c r="P16" s="10">
        <f t="shared" si="4"/>
        <v>5978.929522050541</v>
      </c>
      <c r="Q16" s="44">
        <f>RATE(9,,-G16,P16)</f>
        <v>0.12276508539063417</v>
      </c>
    </row>
    <row r="17" spans="1:17" ht="15.75" thickBot="1" x14ac:dyDescent="0.3">
      <c r="A17" s="11"/>
      <c r="B17" s="3"/>
      <c r="D17" s="13">
        <v>0.152</v>
      </c>
      <c r="E17" s="13">
        <v>0.15114042913492284</v>
      </c>
      <c r="F17" s="13">
        <v>0.15028571920453049</v>
      </c>
      <c r="G17" s="13">
        <v>0.14943584271988983</v>
      </c>
      <c r="H17" s="13">
        <v>0.14859077234751966</v>
      </c>
      <c r="I17" s="13">
        <v>0.14775048090851148</v>
      </c>
      <c r="J17" s="13">
        <v>0.14691494137765562</v>
      </c>
      <c r="K17" s="13">
        <v>0.14608412688257172</v>
      </c>
      <c r="L17" s="13">
        <v>0.1452580107028448</v>
      </c>
      <c r="M17" s="13">
        <v>0.14443656626916565</v>
      </c>
      <c r="N17" s="13">
        <v>0.14361976716247646</v>
      </c>
      <c r="O17" s="13">
        <v>0.142807587113121</v>
      </c>
      <c r="P17" s="13">
        <v>0.1419999999999999</v>
      </c>
    </row>
    <row r="18" spans="1:17" x14ac:dyDescent="0.25">
      <c r="A18" s="105" t="s">
        <v>85</v>
      </c>
      <c r="B18" s="15">
        <v>0.25</v>
      </c>
      <c r="C18" s="16">
        <f>B18*C16</f>
        <v>341.6875</v>
      </c>
      <c r="D18" s="40">
        <f>C18*(1+D17)</f>
        <v>393.62399999999997</v>
      </c>
      <c r="E18" s="40">
        <f t="shared" ref="E18:P18" si="5">D18*(1+E17)</f>
        <v>453.11650027780479</v>
      </c>
      <c r="F18" s="40">
        <f t="shared" si="5"/>
        <v>521.21343940549446</v>
      </c>
      <c r="G18" s="40">
        <f t="shared" si="5"/>
        <v>599.10140895998677</v>
      </c>
      <c r="H18" s="40">
        <f t="shared" si="5"/>
        <v>688.12235003183844</v>
      </c>
      <c r="I18" s="40">
        <f t="shared" si="5"/>
        <v>789.79275817293762</v>
      </c>
      <c r="J18" s="40">
        <f t="shared" si="5"/>
        <v>905.82511494041171</v>
      </c>
      <c r="K18" s="40">
        <f t="shared" si="5"/>
        <v>1038.1517859647868</v>
      </c>
      <c r="L18" s="40">
        <f t="shared" si="5"/>
        <v>1188.9516492016371</v>
      </c>
      <c r="M18" s="40">
        <f t="shared" si="5"/>
        <v>1360.679742872383</v>
      </c>
      <c r="N18" s="40">
        <f t="shared" si="5"/>
        <v>1556.1002507264129</v>
      </c>
      <c r="O18" s="40">
        <f t="shared" si="5"/>
        <v>1778.3231728387743</v>
      </c>
      <c r="P18" s="40">
        <f t="shared" si="5"/>
        <v>2030.8450633818802</v>
      </c>
      <c r="Q18" s="44">
        <f>RATE(9,,-G18,P18)</f>
        <v>0.14527160825258573</v>
      </c>
    </row>
    <row r="19" spans="1:17" x14ac:dyDescent="0.25">
      <c r="A19" s="106"/>
      <c r="B19" s="3"/>
      <c r="D19" s="13">
        <v>0.12649999999999997</v>
      </c>
      <c r="E19" s="13">
        <v>0.12809320522021944</v>
      </c>
      <c r="F19" s="13">
        <v>0.12970647607580441</v>
      </c>
      <c r="G19" s="13">
        <v>0.13134006528355335</v>
      </c>
      <c r="H19" s="13">
        <v>0.13299422874310848</v>
      </c>
      <c r="I19" s="13">
        <v>0.13466922557704195</v>
      </c>
      <c r="J19" s="13">
        <v>0.13636531817144715</v>
      </c>
      <c r="K19" s="13">
        <v>0.13808277221704113</v>
      </c>
      <c r="L19" s="13">
        <v>0.13982185675078473</v>
      </c>
      <c r="M19" s="13">
        <v>0.14158284419802686</v>
      </c>
      <c r="N19" s="13">
        <v>0.14336601041517957</v>
      </c>
      <c r="O19" s="13">
        <v>0.14517163473293057</v>
      </c>
      <c r="P19" s="13">
        <v>0.14700000000000013</v>
      </c>
    </row>
    <row r="20" spans="1:17" x14ac:dyDescent="0.25">
      <c r="A20" s="106" t="s">
        <v>86</v>
      </c>
      <c r="B20" s="15">
        <v>0.2</v>
      </c>
      <c r="C20" s="25">
        <f>B20*C16</f>
        <v>273.35000000000002</v>
      </c>
      <c r="D20" s="40">
        <f>C20*(1+D19)</f>
        <v>307.92877500000003</v>
      </c>
      <c r="E20" s="40">
        <f t="shared" ref="E20:P20" si="6">D20*(1+E19)</f>
        <v>347.37235876928582</v>
      </c>
      <c r="F20" s="40">
        <f t="shared" si="6"/>
        <v>392.42880331138997</v>
      </c>
      <c r="G20" s="40">
        <f t="shared" si="6"/>
        <v>443.97042795745472</v>
      </c>
      <c r="H20" s="40">
        <f t="shared" si="6"/>
        <v>503.01593260840423</v>
      </c>
      <c r="I20" s="40">
        <f t="shared" si="6"/>
        <v>570.75669870569152</v>
      </c>
      <c r="J20" s="40">
        <f t="shared" si="6"/>
        <v>648.58811752317786</v>
      </c>
      <c r="K20" s="40">
        <f t="shared" si="6"/>
        <v>738.14696281781039</v>
      </c>
      <c r="L20" s="40">
        <f t="shared" si="6"/>
        <v>841.35604171394914</v>
      </c>
      <c r="M20" s="40">
        <f t="shared" si="6"/>
        <v>960.47762308300378</v>
      </c>
      <c r="N20" s="40">
        <f t="shared" si="6"/>
        <v>1098.1774679974685</v>
      </c>
      <c r="O20" s="40">
        <f t="shared" si="6"/>
        <v>1257.6016862535316</v>
      </c>
      <c r="P20" s="40">
        <f t="shared" si="6"/>
        <v>1442.4691341328012</v>
      </c>
      <c r="Q20" s="44">
        <f>RATE(9,,-G20,P20)</f>
        <v>0.13988591481970589</v>
      </c>
    </row>
    <row r="21" spans="1:17" x14ac:dyDescent="0.25">
      <c r="A21" s="106"/>
      <c r="B21" s="3"/>
      <c r="D21" s="13">
        <v>9.8000000000000004E-2</v>
      </c>
      <c r="E21" s="13">
        <v>9.8327255428037788E-2</v>
      </c>
      <c r="F21" s="13">
        <v>9.8655603673577397E-2</v>
      </c>
      <c r="G21" s="13">
        <v>9.8985048385909269E-2</v>
      </c>
      <c r="H21" s="13">
        <v>9.9315593226509985E-2</v>
      </c>
      <c r="I21" s="13">
        <v>9.9647241869083136E-2</v>
      </c>
      <c r="J21" s="13">
        <v>9.9979997999599973E-2</v>
      </c>
      <c r="K21" s="13">
        <v>0.10031386531634057</v>
      </c>
      <c r="L21" s="13">
        <v>0.10064884752993467</v>
      </c>
      <c r="M21" s="13">
        <v>0.10098494836340322</v>
      </c>
      <c r="N21" s="13">
        <v>0.10132217155219952</v>
      </c>
      <c r="O21" s="13">
        <v>0.1016605208442509</v>
      </c>
      <c r="P21" s="13">
        <v>0.10200000000000016</v>
      </c>
    </row>
    <row r="22" spans="1:17" x14ac:dyDescent="0.25">
      <c r="A22" s="106" t="s">
        <v>87</v>
      </c>
      <c r="B22" s="15">
        <v>0.16</v>
      </c>
      <c r="C22" s="16">
        <f>B22*C16</f>
        <v>218.68</v>
      </c>
      <c r="D22" s="40">
        <f>C22*(1+D21)</f>
        <v>240.11064000000002</v>
      </c>
      <c r="E22" s="40">
        <f t="shared" ref="E22:P22" si="7">D22*(1+E21)</f>
        <v>263.72006023026967</v>
      </c>
      <c r="F22" s="40">
        <f t="shared" si="7"/>
        <v>289.7375219731191</v>
      </c>
      <c r="G22" s="40">
        <f t="shared" si="7"/>
        <v>318.4172046048418</v>
      </c>
      <c r="H22" s="40">
        <f t="shared" si="7"/>
        <v>350.04099817369865</v>
      </c>
      <c r="I22" s="40">
        <f t="shared" si="7"/>
        <v>384.92161818280846</v>
      </c>
      <c r="J22" s="40">
        <f t="shared" si="7"/>
        <v>423.4060807987284</v>
      </c>
      <c r="K22" s="40">
        <f t="shared" si="7"/>
        <v>465.8795813620917</v>
      </c>
      <c r="L22" s="40">
        <f t="shared" si="7"/>
        <v>512.76982431391468</v>
      </c>
      <c r="M22" s="40">
        <f t="shared" si="7"/>
        <v>564.5518585445667</v>
      </c>
      <c r="N22" s="40">
        <f t="shared" si="7"/>
        <v>621.75347880613231</v>
      </c>
      <c r="O22" s="40">
        <f t="shared" si="7"/>
        <v>684.9612612982886</v>
      </c>
      <c r="P22" s="40">
        <f t="shared" si="7"/>
        <v>754.82730995071415</v>
      </c>
      <c r="Q22" s="44">
        <f>RATE(9,,-G22,P22)</f>
        <v>0.10065223530912748</v>
      </c>
    </row>
    <row r="23" spans="1:17" x14ac:dyDescent="0.25">
      <c r="A23" s="106"/>
      <c r="B23" s="3"/>
      <c r="D23" s="13">
        <v>0.10699999999999997</v>
      </c>
      <c r="E23" s="13">
        <v>0.10888873616984808</v>
      </c>
      <c r="F23" s="13">
        <v>0.11081081181931575</v>
      </c>
      <c r="G23" s="13">
        <v>0.1127668154482258</v>
      </c>
      <c r="H23" s="13">
        <v>0.11475734594444684</v>
      </c>
      <c r="I23" s="13">
        <v>0.11678301276726037</v>
      </c>
      <c r="J23" s="13">
        <v>0.11884443613396466</v>
      </c>
      <c r="K23" s="13">
        <v>0.12094224720977235</v>
      </c>
      <c r="L23" s="13">
        <v>0.12307708830106028</v>
      </c>
      <c r="M23" s="13">
        <v>0.12524961305203042</v>
      </c>
      <c r="N23" s="13">
        <v>0.12746048664484208</v>
      </c>
      <c r="O23" s="13">
        <v>0.12971038600327717</v>
      </c>
      <c r="P23" s="13">
        <v>0.13200000000000009</v>
      </c>
    </row>
    <row r="24" spans="1:17" x14ac:dyDescent="0.25">
      <c r="A24" s="106" t="s">
        <v>88</v>
      </c>
      <c r="B24" s="15">
        <v>0.1</v>
      </c>
      <c r="C24" s="16">
        <f>B24*C16</f>
        <v>136.67500000000001</v>
      </c>
      <c r="D24" s="40">
        <f>C24*(1+D23)</f>
        <v>151.29922500000001</v>
      </c>
      <c r="E24" s="40">
        <f t="shared" ref="E24:P24" si="8">D24*(1+E23)</f>
        <v>167.77400639372749</v>
      </c>
      <c r="F24" s="40">
        <f t="shared" si="8"/>
        <v>186.36518024439553</v>
      </c>
      <c r="G24" s="40">
        <f t="shared" si="8"/>
        <v>207.3809881309906</v>
      </c>
      <c r="H24" s="40">
        <f t="shared" si="8"/>
        <v>231.17947992823991</v>
      </c>
      <c r="I24" s="40">
        <f t="shared" si="8"/>
        <v>258.17731608422821</v>
      </c>
      <c r="J24" s="40">
        <f t="shared" si="8"/>
        <v>288.86025363683871</v>
      </c>
      <c r="K24" s="40">
        <f t="shared" si="8"/>
        <v>323.79566184126281</v>
      </c>
      <c r="L24" s="40">
        <f t="shared" si="8"/>
        <v>363.64748910520018</v>
      </c>
      <c r="M24" s="40">
        <f t="shared" si="8"/>
        <v>409.19419640296894</v>
      </c>
      <c r="N24" s="40">
        <f t="shared" si="8"/>
        <v>461.35028780873648</v>
      </c>
      <c r="O24" s="40">
        <f t="shared" si="8"/>
        <v>521.19221172313064</v>
      </c>
      <c r="P24" s="40">
        <f t="shared" si="8"/>
        <v>589.9895836705839</v>
      </c>
      <c r="Q24" s="44">
        <f>RATE(9,,-G24,P24)</f>
        <v>0.12318895143448248</v>
      </c>
    </row>
    <row r="25" spans="1:17" x14ac:dyDescent="0.25">
      <c r="A25" s="106"/>
      <c r="B25" s="3"/>
      <c r="D25" s="13">
        <v>7.5000000000000011E-2</v>
      </c>
      <c r="E25" s="13">
        <v>7.628780929240947E-2</v>
      </c>
      <c r="F25" s="13">
        <v>7.7597731288467142E-2</v>
      </c>
      <c r="G25" s="13">
        <v>7.8930145680776206E-2</v>
      </c>
      <c r="H25" s="13">
        <v>8.0285438681562002E-2</v>
      </c>
      <c r="I25" s="13">
        <v>8.1664003134619148E-2</v>
      </c>
      <c r="J25" s="13">
        <v>8.3066238629180708E-2</v>
      </c>
      <c r="K25" s="13">
        <v>8.4492551615742845E-2</v>
      </c>
      <c r="L25" s="13">
        <v>8.5943355523878037E-2</v>
      </c>
      <c r="M25" s="13">
        <v>8.7419070882071362E-2</v>
      </c>
      <c r="N25" s="13">
        <v>8.8920125439614459E-2</v>
      </c>
      <c r="O25" s="13">
        <v>9.0446954290592449E-2</v>
      </c>
      <c r="P25" s="13">
        <v>9.1999999999999887E-2</v>
      </c>
    </row>
    <row r="26" spans="1:17" ht="15.75" thickBot="1" x14ac:dyDescent="0.3">
      <c r="A26" s="107" t="s">
        <v>89</v>
      </c>
      <c r="B26" s="15">
        <v>0.05</v>
      </c>
      <c r="C26" s="16">
        <f>B26*C16</f>
        <v>68.337500000000006</v>
      </c>
      <c r="D26" s="40">
        <f>C26*(1+D25)</f>
        <v>73.462812499999998</v>
      </c>
      <c r="E26" s="40">
        <f t="shared" ref="E26:P26" si="9">D26*(1+E25)</f>
        <v>79.067129530084031</v>
      </c>
      <c r="F26" s="40">
        <f t="shared" si="9"/>
        <v>85.202559401109909</v>
      </c>
      <c r="G26" s="40">
        <f t="shared" si="9"/>
        <v>91.927609827014507</v>
      </c>
      <c r="H26" s="40">
        <f t="shared" si="9"/>
        <v>99.308058308923833</v>
      </c>
      <c r="I26" s="40">
        <f t="shared" si="9"/>
        <v>107.41795189395674</v>
      </c>
      <c r="J26" s="40">
        <f t="shared" si="9"/>
        <v>116.340757119038</v>
      </c>
      <c r="K26" s="40">
        <f t="shared" si="9"/>
        <v>126.17068454493293</v>
      </c>
      <c r="L26" s="40">
        <f t="shared" si="9"/>
        <v>137.01421654346916</v>
      </c>
      <c r="M26" s="40">
        <f t="shared" si="9"/>
        <v>148.99187205133418</v>
      </c>
      <c r="N26" s="40">
        <f t="shared" si="9"/>
        <v>162.24024800362179</v>
      </c>
      <c r="O26" s="40">
        <f t="shared" si="9"/>
        <v>176.91438429889973</v>
      </c>
      <c r="P26" s="40">
        <f t="shared" si="9"/>
        <v>193.19050765439849</v>
      </c>
      <c r="Q26" s="44">
        <f>RATE(9,,-G26,P26)</f>
        <v>8.6019835021261093E-2</v>
      </c>
    </row>
    <row r="27" spans="1:17" x14ac:dyDescent="0.25">
      <c r="A27" s="1"/>
      <c r="B27" s="3"/>
      <c r="D27" s="13">
        <v>5.6000000000000015E-2</v>
      </c>
      <c r="E27" s="13">
        <v>5.6477006003543787E-2</v>
      </c>
      <c r="F27" s="13">
        <v>5.6958075127220002E-2</v>
      </c>
      <c r="G27" s="13">
        <v>5.7443241980541085E-2</v>
      </c>
      <c r="H27" s="13">
        <v>5.7932541467822077E-2</v>
      </c>
      <c r="I27" s="13">
        <v>5.8426008790691715E-2</v>
      </c>
      <c r="J27" s="13">
        <v>5.8923679450624947E-2</v>
      </c>
      <c r="K27" s="13">
        <v>5.9425589251497032E-2</v>
      </c>
      <c r="L27" s="13">
        <v>5.9931774302159353E-2</v>
      </c>
      <c r="M27" s="13">
        <v>6.0442271019037215E-2</v>
      </c>
      <c r="N27" s="13">
        <v>6.0957116128749732E-2</v>
      </c>
      <c r="O27" s="13">
        <v>6.1476346670752018E-2</v>
      </c>
      <c r="P27" s="13">
        <v>6.1999999999999993E-2</v>
      </c>
    </row>
    <row r="28" spans="1:17" x14ac:dyDescent="0.25">
      <c r="A28" s="1" t="s">
        <v>33</v>
      </c>
      <c r="B28" s="32">
        <v>4.2000000000000003E-2</v>
      </c>
      <c r="C28" s="16">
        <f>B28*C16</f>
        <v>57.403500000000001</v>
      </c>
      <c r="D28" s="40">
        <f>C28*(1+D27)</f>
        <v>60.618096000000001</v>
      </c>
      <c r="E28" s="40">
        <f t="shared" ref="E28:P28" si="10">D28*(1+E27)</f>
        <v>64.041624571715388</v>
      </c>
      <c r="F28" s="40">
        <f t="shared" si="10"/>
        <v>67.689312235340381</v>
      </c>
      <c r="G28" s="40">
        <f t="shared" si="10"/>
        <v>71.577605777571435</v>
      </c>
      <c r="H28" s="40">
        <f t="shared" si="10"/>
        <v>75.724278392448014</v>
      </c>
      <c r="I28" s="40">
        <f t="shared" si="10"/>
        <v>80.148545747473975</v>
      </c>
      <c r="J28" s="40">
        <f t="shared" si="10"/>
        <v>84.871192965531876</v>
      </c>
      <c r="K28" s="40">
        <f t="shared" si="10"/>
        <v>89.914713617986109</v>
      </c>
      <c r="L28" s="40">
        <f t="shared" si="10"/>
        <v>95.303461940982558</v>
      </c>
      <c r="M28" s="40">
        <f t="shared" si="10"/>
        <v>101.06381961667194</v>
      </c>
      <c r="N28" s="40">
        <f t="shared" si="10"/>
        <v>107.22437860546042</v>
      </c>
      <c r="O28" s="40">
        <f t="shared" si="10"/>
        <v>113.81614167616566</v>
      </c>
      <c r="P28" s="40">
        <f t="shared" si="10"/>
        <v>120.87274246008793</v>
      </c>
      <c r="Q28" s="44">
        <f>RATE(9,,-G28,P28)</f>
        <v>5.9945334534310911E-2</v>
      </c>
    </row>
    <row r="29" spans="1:17" x14ac:dyDescent="0.25">
      <c r="A29" s="1"/>
      <c r="B29" s="3"/>
      <c r="D29" s="13">
        <v>0.10399999999999997</v>
      </c>
      <c r="E29" s="13">
        <v>0.10464425640004114</v>
      </c>
      <c r="F29" s="13">
        <v>0.10529250382228421</v>
      </c>
      <c r="G29" s="13">
        <v>0.105944766990206</v>
      </c>
      <c r="H29" s="13">
        <v>0.10660107078043976</v>
      </c>
      <c r="I29" s="13">
        <v>0.10726144022372382</v>
      </c>
      <c r="J29" s="13">
        <v>0.10792590050585621</v>
      </c>
      <c r="K29" s="13">
        <v>0.10859447696865529</v>
      </c>
      <c r="L29" s="13">
        <v>0.10926719511092627</v>
      </c>
      <c r="M29" s="13">
        <v>0.1099440805894336</v>
      </c>
      <c r="N29" s="13">
        <v>0.1106251592198796</v>
      </c>
      <c r="O29" s="13">
        <v>0.11131045697788905</v>
      </c>
      <c r="P29" s="13">
        <v>0.11199999999999977</v>
      </c>
    </row>
    <row r="30" spans="1:17" x14ac:dyDescent="0.25">
      <c r="A30" s="1" t="s">
        <v>3</v>
      </c>
      <c r="B30" s="32">
        <v>6.2E-2</v>
      </c>
      <c r="C30" s="16">
        <f>B30*C16</f>
        <v>84.738500000000002</v>
      </c>
      <c r="D30" s="40">
        <f>C30*(1+D29)</f>
        <v>93.551303999999988</v>
      </c>
      <c r="E30" s="40">
        <f t="shared" ref="E30:P30" si="11">D30*(1+E29)</f>
        <v>103.34091064233418</v>
      </c>
      <c r="F30" s="40">
        <f t="shared" si="11"/>
        <v>114.22193387114049</v>
      </c>
      <c r="G30" s="40">
        <f t="shared" si="11"/>
        <v>126.32315004028919</v>
      </c>
      <c r="H30" s="40">
        <f t="shared" si="11"/>
        <v>139.78933309894217</v>
      </c>
      <c r="I30" s="40">
        <f t="shared" si="11"/>
        <v>154.78333829504857</v>
      </c>
      <c r="J30" s="40">
        <f t="shared" si="11"/>
        <v>171.48846946384424</v>
      </c>
      <c r="K30" s="40">
        <f t="shared" si="11"/>
        <v>190.11117011142562</v>
      </c>
      <c r="L30" s="40">
        <f t="shared" si="11"/>
        <v>210.88408442875726</v>
      </c>
      <c r="M30" s="40">
        <f t="shared" si="11"/>
        <v>234.06954120222147</v>
      </c>
      <c r="N30" s="40">
        <f t="shared" si="11"/>
        <v>259.96352146624139</v>
      </c>
      <c r="O30" s="40">
        <f t="shared" si="11"/>
        <v>288.90017983822997</v>
      </c>
      <c r="P30" s="40">
        <f t="shared" si="11"/>
        <v>321.25699998011163</v>
      </c>
      <c r="Q30" s="44">
        <f>RATE(9,,-G30,P30)</f>
        <v>0.10927971815262742</v>
      </c>
    </row>
    <row r="31" spans="1:17" x14ac:dyDescent="0.25">
      <c r="A31" s="1"/>
      <c r="B31" s="3"/>
      <c r="D31" s="13">
        <v>0.10600000000000001</v>
      </c>
      <c r="E31" s="13">
        <v>0.10753782668879848</v>
      </c>
      <c r="F31" s="13">
        <v>0.10909796385801941</v>
      </c>
      <c r="G31" s="13">
        <v>0.11068073518362728</v>
      </c>
      <c r="H31" s="13">
        <v>0.11228646903741235</v>
      </c>
      <c r="I31" s="13">
        <v>0.11391549855511685</v>
      </c>
      <c r="J31" s="13">
        <v>0.11556816170554932</v>
      </c>
      <c r="K31" s="13">
        <v>0.11724480136070189</v>
      </c>
      <c r="L31" s="13">
        <v>0.11894576536688457</v>
      </c>
      <c r="M31" s="13">
        <v>0.12067140661689167</v>
      </c>
      <c r="N31" s="13">
        <v>0.12242208312321534</v>
      </c>
      <c r="O31" s="13">
        <v>0.12419815809232088</v>
      </c>
      <c r="P31" s="13">
        <v>0.12599999999999997</v>
      </c>
    </row>
    <row r="32" spans="1:17" ht="15.75" thickBot="1" x14ac:dyDescent="0.3">
      <c r="A32" s="26" t="s">
        <v>39</v>
      </c>
      <c r="B32" s="18">
        <f>1-SUM(B18+B20+B22+B24+B26+B28+B30)</f>
        <v>0.1359999999999999</v>
      </c>
      <c r="C32" s="19">
        <f>B32*C16</f>
        <v>185.87799999999987</v>
      </c>
      <c r="D32" s="16">
        <f t="shared" ref="D32:P32" si="12">C32*(1+D25)</f>
        <v>199.81884999999986</v>
      </c>
      <c r="E32" s="16">
        <f t="shared" si="12"/>
        <v>215.06259232182842</v>
      </c>
      <c r="F32" s="16">
        <f t="shared" si="12"/>
        <v>231.75096157101879</v>
      </c>
      <c r="G32" s="16">
        <f t="shared" si="12"/>
        <v>250.04309872947928</v>
      </c>
      <c r="H32" s="16">
        <f t="shared" si="12"/>
        <v>270.11791860027262</v>
      </c>
      <c r="I32" s="16">
        <f t="shared" si="12"/>
        <v>292.17682915156212</v>
      </c>
      <c r="J32" s="16">
        <f t="shared" si="12"/>
        <v>316.44685936378312</v>
      </c>
      <c r="K32" s="16">
        <f t="shared" si="12"/>
        <v>343.18426196221731</v>
      </c>
      <c r="L32" s="16">
        <f t="shared" si="12"/>
        <v>372.67866899823582</v>
      </c>
      <c r="M32" s="16">
        <f t="shared" si="12"/>
        <v>405.25789197962865</v>
      </c>
      <c r="N32" s="16">
        <f t="shared" si="12"/>
        <v>441.2934745698509</v>
      </c>
      <c r="O32" s="16">
        <f t="shared" si="12"/>
        <v>481.20712529300687</v>
      </c>
      <c r="P32" s="16">
        <f t="shared" si="12"/>
        <v>525.47818081996343</v>
      </c>
      <c r="Q32" s="44">
        <f>RATE(9,,-G32,P32)</f>
        <v>8.6019835021261065E-2</v>
      </c>
    </row>
    <row r="33" spans="1:17" ht="15.75" thickBot="1" x14ac:dyDescent="0.3">
      <c r="A33" s="1"/>
      <c r="B33" s="15">
        <f>B18+B20+B22+B24+B26+B28+B30+B32</f>
        <v>1</v>
      </c>
      <c r="P33" s="21"/>
    </row>
    <row r="34" spans="1:17" x14ac:dyDescent="0.25">
      <c r="A34" s="27" t="s">
        <v>2</v>
      </c>
      <c r="B34" s="9">
        <f>B5</f>
        <v>0.1</v>
      </c>
      <c r="C34" s="23">
        <f>B34*E3</f>
        <v>546.70000000000005</v>
      </c>
      <c r="D34" s="24">
        <f>D36+D38+D42+D40</f>
        <v>612.44614200000012</v>
      </c>
      <c r="E34" s="24">
        <f t="shared" ref="E34:P34" si="13">E36+E38+E42+E40</f>
        <v>685.3280868315851</v>
      </c>
      <c r="F34" s="24">
        <f t="shared" si="13"/>
        <v>768.25260480932559</v>
      </c>
      <c r="G34" s="24">
        <f t="shared" si="13"/>
        <v>862.77822291097243</v>
      </c>
      <c r="H34" s="24">
        <f t="shared" si="13"/>
        <v>970.73125816614242</v>
      </c>
      <c r="I34" s="24">
        <f t="shared" si="13"/>
        <v>1094.2561566306451</v>
      </c>
      <c r="J34" s="24">
        <f t="shared" si="13"/>
        <v>1235.8760934315867</v>
      </c>
      <c r="K34" s="24">
        <f t="shared" si="13"/>
        <v>1398.5660862862312</v>
      </c>
      <c r="L34" s="24">
        <f t="shared" si="13"/>
        <v>1585.8414043138177</v>
      </c>
      <c r="M34" s="24">
        <f t="shared" si="13"/>
        <v>1801.8647159758805</v>
      </c>
      <c r="N34" s="24">
        <f t="shared" si="13"/>
        <v>2051.5762498372819</v>
      </c>
      <c r="O34" s="24">
        <f t="shared" si="13"/>
        <v>2340.8522846769174</v>
      </c>
      <c r="P34" s="24">
        <f t="shared" si="13"/>
        <v>2676.698599262656</v>
      </c>
      <c r="Q34" s="44">
        <f>RATE(9,,-G34,P34)</f>
        <v>0.13405303794839679</v>
      </c>
    </row>
    <row r="35" spans="1:17" x14ac:dyDescent="0.25">
      <c r="A35" s="2"/>
      <c r="B35" s="3"/>
      <c r="D35" s="13">
        <v>0.10299999999999997</v>
      </c>
      <c r="E35" s="13">
        <v>0.10467507732838656</v>
      </c>
      <c r="F35" s="13">
        <v>0.10637739624955057</v>
      </c>
      <c r="G35" s="13">
        <v>0.10810739979042841</v>
      </c>
      <c r="H35" s="13">
        <v>0.1098655381828534</v>
      </c>
      <c r="I35" s="13">
        <v>0.11165226898072804</v>
      </c>
      <c r="J35" s="13">
        <v>0.1134680571791022</v>
      </c>
      <c r="K35" s="13">
        <v>0.1153133753351875</v>
      </c>
      <c r="L35" s="13">
        <v>0.11718870369133998</v>
      </c>
      <c r="M35" s="13">
        <v>0.11909453030004268</v>
      </c>
      <c r="N35" s="13">
        <v>0.12103135115092085</v>
      </c>
      <c r="O35" s="13">
        <v>0.12299967029982282</v>
      </c>
      <c r="P35" s="41">
        <v>0.12500000000000008</v>
      </c>
    </row>
    <row r="36" spans="1:17" x14ac:dyDescent="0.25">
      <c r="A36" s="1" t="s">
        <v>8</v>
      </c>
      <c r="B36" s="15">
        <v>0.24</v>
      </c>
      <c r="C36" s="16">
        <f>B36*C34</f>
        <v>131.208</v>
      </c>
      <c r="D36" s="16">
        <f>C36*(1+D29)</f>
        <v>144.85363199999998</v>
      </c>
      <c r="E36" s="16">
        <f>D36*(1+E35)</f>
        <v>160.01619713089764</v>
      </c>
      <c r="F36" s="16">
        <f t="shared" ref="F36:P36" si="14">E36*(1+F35)</f>
        <v>177.03830353943735</v>
      </c>
      <c r="G36" s="16">
        <f t="shared" si="14"/>
        <v>196.17745419839454</v>
      </c>
      <c r="H36" s="16">
        <f t="shared" si="14"/>
        <v>217.73059578324325</v>
      </c>
      <c r="I36" s="16">
        <f t="shared" si="14"/>
        <v>242.04071082896809</v>
      </c>
      <c r="J36" s="16">
        <f t="shared" si="14"/>
        <v>269.50460004498001</v>
      </c>
      <c r="K36" s="16">
        <f t="shared" si="14"/>
        <v>300.58208514452639</v>
      </c>
      <c r="L36" s="16">
        <f t="shared" si="14"/>
        <v>335.80691005545339</v>
      </c>
      <c r="M36" s="16">
        <f t="shared" si="14"/>
        <v>375.79967628001623</v>
      </c>
      <c r="N36" s="16">
        <f t="shared" si="14"/>
        <v>421.28321886226524</v>
      </c>
      <c r="O36" s="16">
        <f t="shared" si="14"/>
        <v>473.10091588517196</v>
      </c>
      <c r="P36" s="16">
        <f t="shared" si="14"/>
        <v>532.23853037081847</v>
      </c>
      <c r="Q36" s="44">
        <f>RATE(9,,-G36,P36)</f>
        <v>0.11727971260936761</v>
      </c>
    </row>
    <row r="37" spans="1:17" x14ac:dyDescent="0.25">
      <c r="A37" s="1"/>
      <c r="B37" s="3"/>
      <c r="D37" s="13">
        <v>8.2000000000000003E-2</v>
      </c>
      <c r="E37" s="13">
        <v>8.2790089158994745E-2</v>
      </c>
      <c r="F37" s="13">
        <v>8.358779101163781E-2</v>
      </c>
      <c r="G37" s="13">
        <v>8.4393178908011138E-2</v>
      </c>
      <c r="H37" s="13">
        <v>8.520632690494194E-2</v>
      </c>
      <c r="I37" s="13">
        <v>8.602730977281213E-2</v>
      </c>
      <c r="J37" s="13">
        <v>8.6856203002433879E-2</v>
      </c>
      <c r="K37" s="13">
        <v>8.7693082811990827E-2</v>
      </c>
      <c r="L37" s="13">
        <v>8.8538026154046739E-2</v>
      </c>
      <c r="M37" s="13">
        <v>8.9391110722621195E-2</v>
      </c>
      <c r="N37" s="13">
        <v>9.0252414960333913E-2</v>
      </c>
      <c r="O37" s="13">
        <v>9.1122018065617497E-2</v>
      </c>
      <c r="P37" s="41">
        <v>9.2000000000000054E-2</v>
      </c>
    </row>
    <row r="38" spans="1:17" x14ac:dyDescent="0.25">
      <c r="A38" s="1" t="s">
        <v>11</v>
      </c>
      <c r="B38" s="15">
        <v>0.12</v>
      </c>
      <c r="C38" s="16">
        <f>B38*C34</f>
        <v>65.603999999999999</v>
      </c>
      <c r="D38" s="16">
        <f>C38*(1+D31)</f>
        <v>72.558024000000003</v>
      </c>
      <c r="E38" s="16">
        <f>D38*(1+E37)</f>
        <v>78.565109276160484</v>
      </c>
      <c r="F38" s="16">
        <f t="shared" ref="F38:P38" si="15">E38*(1+F37)</f>
        <v>85.132193211142678</v>
      </c>
      <c r="G38" s="16">
        <f t="shared" si="15"/>
        <v>92.316769623642017</v>
      </c>
      <c r="H38" s="16">
        <f t="shared" si="15"/>
        <v>100.18274247500227</v>
      </c>
      <c r="I38" s="16">
        <f t="shared" si="15"/>
        <v>108.80119429578916</v>
      </c>
      <c r="J38" s="16">
        <f t="shared" si="15"/>
        <v>118.25125291445147</v>
      </c>
      <c r="K38" s="16">
        <f t="shared" si="15"/>
        <v>128.62106982890015</v>
      </c>
      <c r="L38" s="16">
        <f t="shared" si="15"/>
        <v>140.00892547337278</v>
      </c>
      <c r="M38" s="16">
        <f t="shared" si="15"/>
        <v>152.52447883251827</v>
      </c>
      <c r="N38" s="16">
        <f t="shared" si="15"/>
        <v>166.29018138771937</v>
      </c>
      <c r="O38" s="16">
        <f t="shared" si="15"/>
        <v>181.44287830026596</v>
      </c>
      <c r="P38" s="16">
        <f t="shared" si="15"/>
        <v>198.13562310389045</v>
      </c>
      <c r="Q38" s="44">
        <f>RATE(9,,-G38,P38)</f>
        <v>8.8562957650497598E-2</v>
      </c>
    </row>
    <row r="39" spans="1:17" x14ac:dyDescent="0.25">
      <c r="A39" s="1"/>
      <c r="B39" s="15"/>
      <c r="C39" s="16"/>
      <c r="D39" s="13">
        <v>0.15200000000000005</v>
      </c>
      <c r="E39" s="13">
        <v>0.15429880808797705</v>
      </c>
      <c r="F39" s="13">
        <v>0.15663238274585764</v>
      </c>
      <c r="G39" s="13">
        <v>0.15900124977411612</v>
      </c>
      <c r="H39" s="13">
        <v>0.16140594292529498</v>
      </c>
      <c r="I39" s="13">
        <v>0.1638470040242701</v>
      </c>
      <c r="J39" s="13">
        <v>0.16632498309033453</v>
      </c>
      <c r="K39" s="13">
        <v>0.16884043846112856</v>
      </c>
      <c r="L39" s="13">
        <v>0.17139393691844451</v>
      </c>
      <c r="M39" s="13">
        <v>0.17398605381593354</v>
      </c>
      <c r="N39" s="13">
        <v>0.17661737320874454</v>
      </c>
      <c r="O39" s="13">
        <v>0.1792884879851229</v>
      </c>
      <c r="P39" s="41">
        <v>0.18200000000000033</v>
      </c>
    </row>
    <row r="40" spans="1:17" x14ac:dyDescent="0.25">
      <c r="A40" s="1" t="s">
        <v>7</v>
      </c>
      <c r="B40" s="15">
        <v>0.15</v>
      </c>
      <c r="C40" s="16">
        <f>B40*C34</f>
        <v>82.00500000000001</v>
      </c>
      <c r="D40" s="16">
        <f>C40*(1+D39)</f>
        <v>94.469760000000022</v>
      </c>
      <c r="E40" s="16">
        <f t="shared" ref="E40:P40" si="16">D40*(1+E39)</f>
        <v>109.04633136835727</v>
      </c>
      <c r="F40" s="16">
        <f t="shared" si="16"/>
        <v>126.12651808027742</v>
      </c>
      <c r="G40" s="16">
        <f t="shared" si="16"/>
        <v>146.18079208469916</v>
      </c>
      <c r="H40" s="16">
        <f t="shared" si="16"/>
        <v>169.77524066869654</v>
      </c>
      <c r="I40" s="16">
        <f t="shared" si="16"/>
        <v>197.59240520976189</v>
      </c>
      <c r="J40" s="16">
        <f t="shared" si="16"/>
        <v>230.45695866505409</v>
      </c>
      <c r="K40" s="16">
        <f t="shared" si="16"/>
        <v>269.36741261248</v>
      </c>
      <c r="L40" s="16">
        <f t="shared" si="16"/>
        <v>315.53535393766799</v>
      </c>
      <c r="M40" s="16">
        <f t="shared" si="16"/>
        <v>370.43410500869669</v>
      </c>
      <c r="N40" s="16">
        <f t="shared" si="16"/>
        <v>435.85920358226497</v>
      </c>
      <c r="O40" s="16">
        <f t="shared" si="16"/>
        <v>514.0037411669291</v>
      </c>
      <c r="P40" s="16">
        <f t="shared" si="16"/>
        <v>607.5524220593104</v>
      </c>
      <c r="Q40" s="44">
        <f>RATE(9,,-G40,P40)</f>
        <v>0.17150383922766188</v>
      </c>
    </row>
    <row r="41" spans="1:17" x14ac:dyDescent="0.25">
      <c r="A41" s="1"/>
      <c r="B41" s="3"/>
      <c r="D41" s="13">
        <v>0.122</v>
      </c>
      <c r="E41" s="13">
        <v>0.123553164572511</v>
      </c>
      <c r="F41" s="13">
        <v>0.12512610226132778</v>
      </c>
      <c r="G41" s="13">
        <v>0.12671906479516942</v>
      </c>
      <c r="H41" s="13">
        <v>0.12833230710747748</v>
      </c>
      <c r="I41" s="13">
        <v>0.12996608737721466</v>
      </c>
      <c r="J41" s="13">
        <v>0.13162066707018319</v>
      </c>
      <c r="K41" s="13">
        <v>0.13329631098086905</v>
      </c>
      <c r="L41" s="13">
        <v>0.13499328727481902</v>
      </c>
      <c r="M41" s="13">
        <v>0.13671186753155712</v>
      </c>
      <c r="N41" s="13">
        <v>0.13845232678804756</v>
      </c>
      <c r="O41" s="13">
        <v>0.14021494358271075</v>
      </c>
      <c r="P41" s="41">
        <v>0.14200000000000007</v>
      </c>
    </row>
    <row r="42" spans="1:17" ht="15.75" thickBot="1" x14ac:dyDescent="0.3">
      <c r="A42" s="26" t="s">
        <v>40</v>
      </c>
      <c r="B42" s="18">
        <f>1-SUM(B36+B38+B40)</f>
        <v>0.49</v>
      </c>
      <c r="C42" s="19">
        <f>B42*C34</f>
        <v>267.88300000000004</v>
      </c>
      <c r="D42" s="19">
        <f>C42*(1+D41)</f>
        <v>300.56472600000001</v>
      </c>
      <c r="E42" s="19">
        <f t="shared" ref="E42:P42" si="17">D42*(1+E41)</f>
        <v>337.7004490561697</v>
      </c>
      <c r="F42" s="19">
        <f t="shared" si="17"/>
        <v>379.95558997846825</v>
      </c>
      <c r="G42" s="19">
        <f t="shared" si="17"/>
        <v>428.10320700423659</v>
      </c>
      <c r="H42" s="19">
        <f t="shared" si="17"/>
        <v>483.04267923920031</v>
      </c>
      <c r="I42" s="19">
        <f t="shared" si="17"/>
        <v>545.82184629612607</v>
      </c>
      <c r="J42" s="19">
        <f t="shared" si="17"/>
        <v>617.66328180710116</v>
      </c>
      <c r="K42" s="19">
        <f t="shared" si="17"/>
        <v>699.99551870032474</v>
      </c>
      <c r="L42" s="19">
        <f t="shared" si="17"/>
        <v>794.49021484732361</v>
      </c>
      <c r="M42" s="19">
        <f t="shared" si="17"/>
        <v>903.1064558546492</v>
      </c>
      <c r="N42" s="19">
        <f t="shared" si="17"/>
        <v>1028.1436460050325</v>
      </c>
      <c r="O42" s="19">
        <f t="shared" si="17"/>
        <v>1172.3047493245506</v>
      </c>
      <c r="P42" s="19">
        <f t="shared" si="17"/>
        <v>1338.7720237286369</v>
      </c>
      <c r="Q42" s="44">
        <f>RATE(9,,-G42,P42)</f>
        <v>0.13505674004413706</v>
      </c>
    </row>
    <row r="43" spans="1:17" ht="15.75" thickBot="1" x14ac:dyDescent="0.3">
      <c r="A43" s="1"/>
      <c r="B43" s="15">
        <f>B36+B38+B40+B42</f>
        <v>1</v>
      </c>
      <c r="P43" s="21"/>
    </row>
    <row r="44" spans="1:17" x14ac:dyDescent="0.25">
      <c r="A44" s="27" t="s">
        <v>41</v>
      </c>
      <c r="B44" s="9">
        <f>B4</f>
        <v>0.23400000000000001</v>
      </c>
      <c r="C44" s="28">
        <f>B44*E3</f>
        <v>1279.278</v>
      </c>
      <c r="D44" s="24">
        <f>D46+D48+D50+D52+D54</f>
        <v>1438.0236070200001</v>
      </c>
      <c r="E44" s="24">
        <f t="shared" ref="E44:P44" si="18">E46+E48+E50+E52+E54</f>
        <v>1614.2143834835315</v>
      </c>
      <c r="F44" s="24">
        <f t="shared" si="18"/>
        <v>1812.28150829585</v>
      </c>
      <c r="G44" s="24">
        <f t="shared" si="18"/>
        <v>2034.9743317448847</v>
      </c>
      <c r="H44" s="24">
        <f t="shared" si="18"/>
        <v>2285.4046687777068</v>
      </c>
      <c r="I44" s="24">
        <f t="shared" si="18"/>
        <v>2567.1000478577198</v>
      </c>
      <c r="J44" s="24">
        <f t="shared" si="18"/>
        <v>2884.0659664440373</v>
      </c>
      <c r="K44" s="24">
        <f t="shared" si="18"/>
        <v>3240.8588548404196</v>
      </c>
      <c r="L44" s="24">
        <f t="shared" si="18"/>
        <v>3642.6717922941634</v>
      </c>
      <c r="M44" s="24">
        <f t="shared" si="18"/>
        <v>4095.435433003408</v>
      </c>
      <c r="N44" s="24">
        <f t="shared" si="18"/>
        <v>4605.9371007516274</v>
      </c>
      <c r="O44" s="24">
        <f t="shared" si="18"/>
        <v>5181.9616184302631</v>
      </c>
      <c r="P44" s="24">
        <f t="shared" si="18"/>
        <v>5832.45817634173</v>
      </c>
      <c r="Q44" s="44">
        <f>RATE(9,,-G44,P44)</f>
        <v>0.12411385265703979</v>
      </c>
    </row>
    <row r="45" spans="1:17" x14ac:dyDescent="0.25">
      <c r="A45" s="2"/>
      <c r="B45" s="3"/>
      <c r="D45" s="42">
        <v>0.13499999999999995</v>
      </c>
      <c r="E45" s="42">
        <v>0.13634093043793202</v>
      </c>
      <c r="F45" s="42">
        <v>0.13769518009393356</v>
      </c>
      <c r="G45" s="42">
        <v>0.13906288126537422</v>
      </c>
      <c r="H45" s="42">
        <v>0.14044416756370959</v>
      </c>
      <c r="I45" s="42">
        <v>0.14183917392753337</v>
      </c>
      <c r="J45" s="42">
        <v>0.14324803663575983</v>
      </c>
      <c r="K45" s="42">
        <v>0.14467089332093686</v>
      </c>
      <c r="L45" s="42">
        <v>0.14610788298269142</v>
      </c>
      <c r="M45" s="42">
        <v>0.14755914600130854</v>
      </c>
      <c r="N45" s="42">
        <v>0.14902482415144497</v>
      </c>
      <c r="O45" s="42">
        <v>0.15050506061597937</v>
      </c>
      <c r="P45" s="42">
        <v>0.15199999999999997</v>
      </c>
    </row>
    <row r="46" spans="1:17" x14ac:dyDescent="0.25">
      <c r="A46" s="1" t="s">
        <v>4</v>
      </c>
      <c r="B46" s="15">
        <v>0.27</v>
      </c>
      <c r="C46" s="16">
        <f>B46*C44</f>
        <v>345.40506000000005</v>
      </c>
      <c r="D46" s="43">
        <f>C46*(1+D39)</f>
        <v>397.9066291200001</v>
      </c>
      <c r="E46" s="43">
        <f>D46*(1+E45)</f>
        <v>452.15758916164202</v>
      </c>
      <c r="F46" s="43">
        <f t="shared" ref="F46:P46" si="19">E46*(1+F45)</f>
        <v>514.41750983209306</v>
      </c>
      <c r="G46" s="43">
        <f t="shared" si="19"/>
        <v>585.95389092270295</v>
      </c>
      <c r="H46" s="43">
        <f t="shared" si="19"/>
        <v>668.24769736405869</v>
      </c>
      <c r="I46" s="43">
        <f t="shared" si="19"/>
        <v>763.03139873715304</v>
      </c>
      <c r="J46" s="43">
        <f t="shared" si="19"/>
        <v>872.33414849768781</v>
      </c>
      <c r="K46" s="43">
        <f t="shared" si="19"/>
        <v>998.53550903520704</v>
      </c>
      <c r="L46" s="43">
        <f t="shared" si="19"/>
        <v>1144.4294183433854</v>
      </c>
      <c r="M46" s="43">
        <f t="shared" si="19"/>
        <v>1313.3004459729095</v>
      </c>
      <c r="N46" s="43">
        <f t="shared" si="19"/>
        <v>1509.0148139920366</v>
      </c>
      <c r="O46" s="43">
        <f t="shared" si="19"/>
        <v>1736.1291800423189</v>
      </c>
      <c r="P46" s="43">
        <f t="shared" si="19"/>
        <v>2000.0208154087513</v>
      </c>
      <c r="Q46" s="44">
        <f>RATE(9,,-G46,P46)</f>
        <v>0.1461493972688305</v>
      </c>
    </row>
    <row r="47" spans="1:17" x14ac:dyDescent="0.25">
      <c r="A47" s="1"/>
      <c r="B47" s="3"/>
      <c r="D47" s="42">
        <v>8.9000000000000024E-2</v>
      </c>
      <c r="E47" s="42">
        <v>9.0016927864569024E-2</v>
      </c>
      <c r="F47" s="42">
        <v>9.1045475305337312E-2</v>
      </c>
      <c r="G47" s="42">
        <v>9.2085775089392669E-2</v>
      </c>
      <c r="H47" s="42">
        <v>9.3137961500840263E-2</v>
      </c>
      <c r="I47" s="42">
        <v>9.4202170358136453E-2</v>
      </c>
      <c r="J47" s="42">
        <v>9.5278539031620327E-2</v>
      </c>
      <c r="K47" s="42">
        <v>9.6367206461245927E-2</v>
      </c>
      <c r="L47" s="42">
        <v>9.7468313174516874E-2</v>
      </c>
      <c r="M47" s="42">
        <v>9.858200130462591E-2</v>
      </c>
      <c r="N47" s="42">
        <v>9.9708414608801782E-2</v>
      </c>
      <c r="O47" s="42">
        <v>0.1008476984868657</v>
      </c>
      <c r="P47" s="42">
        <v>0.10199999999999991</v>
      </c>
    </row>
    <row r="48" spans="1:17" x14ac:dyDescent="0.25">
      <c r="A48" s="1" t="s">
        <v>5</v>
      </c>
      <c r="B48" s="15">
        <v>0.15</v>
      </c>
      <c r="C48" s="16">
        <f>B48*C44</f>
        <v>191.89169999999999</v>
      </c>
      <c r="D48" s="43">
        <f>C48*(1+D41)</f>
        <v>215.30248739999996</v>
      </c>
      <c r="E48" s="43">
        <f>D48*(1+E47)</f>
        <v>234.68335587734805</v>
      </c>
      <c r="F48" s="43">
        <f t="shared" ref="F48:P48" si="20">E48*(1+F47)</f>
        <v>256.05021355945286</v>
      </c>
      <c r="G48" s="43">
        <f t="shared" si="20"/>
        <v>279.62879593687961</v>
      </c>
      <c r="H48" s="43">
        <f t="shared" si="20"/>
        <v>305.67285196737504</v>
      </c>
      <c r="I48" s="43">
        <f t="shared" si="20"/>
        <v>334.46789804226313</v>
      </c>
      <c r="J48" s="43">
        <f t="shared" si="20"/>
        <v>366.33551072070696</v>
      </c>
      <c r="K48" s="43">
        <f t="shared" si="20"/>
        <v>401.63824051641529</v>
      </c>
      <c r="L48" s="43">
        <f t="shared" si="20"/>
        <v>440.78524232593116</v>
      </c>
      <c r="M48" s="43">
        <f t="shared" si="20"/>
        <v>484.23873365996593</v>
      </c>
      <c r="N48" s="43">
        <f t="shared" si="20"/>
        <v>532.52141008537501</v>
      </c>
      <c r="O48" s="43">
        <f t="shared" si="20"/>
        <v>586.22496868746543</v>
      </c>
      <c r="P48" s="43">
        <f t="shared" si="20"/>
        <v>646.01991549358684</v>
      </c>
      <c r="Q48" s="44">
        <f>RATE(9,,-G48,P48)</f>
        <v>9.7506529379053034E-2</v>
      </c>
    </row>
    <row r="49" spans="1:17" x14ac:dyDescent="0.25">
      <c r="A49" s="1"/>
      <c r="B49" s="3"/>
      <c r="D49" s="42">
        <v>0.15200000000000005</v>
      </c>
      <c r="E49" s="42">
        <v>0.14903504147909916</v>
      </c>
      <c r="F49" s="42">
        <v>0.14612791834655789</v>
      </c>
      <c r="G49" s="42">
        <v>0.14327750244758988</v>
      </c>
      <c r="H49" s="42">
        <v>0.14048268763354133</v>
      </c>
      <c r="I49" s="42">
        <v>0.13774238933263261</v>
      </c>
      <c r="J49" s="42">
        <v>0.13505554412907314</v>
      </c>
      <c r="K49" s="42">
        <v>0.13242110935038628</v>
      </c>
      <c r="L49" s="42">
        <v>0.1298380626627838</v>
      </c>
      <c r="M49" s="42">
        <v>0.12730540167443324</v>
      </c>
      <c r="N49" s="42">
        <v>0.12482214354646402</v>
      </c>
      <c r="O49" s="42">
        <v>0.12238732461156138</v>
      </c>
      <c r="P49" s="42">
        <v>0.12000000000000011</v>
      </c>
    </row>
    <row r="50" spans="1:17" x14ac:dyDescent="0.25">
      <c r="A50" s="1" t="s">
        <v>31</v>
      </c>
      <c r="B50" s="15">
        <v>0.15</v>
      </c>
      <c r="C50" s="16">
        <f>B50*C44</f>
        <v>191.89169999999999</v>
      </c>
      <c r="D50" s="43">
        <f>C50*(1+D49)</f>
        <v>221.0592384</v>
      </c>
      <c r="E50" s="43">
        <f t="shared" ref="E50:P50" si="21">D50*(1+E49)</f>
        <v>254.00481116428205</v>
      </c>
      <c r="F50" s="43">
        <f t="shared" si="21"/>
        <v>291.12200546972906</v>
      </c>
      <c r="G50" s="43">
        <f t="shared" si="21"/>
        <v>332.83323932096545</v>
      </c>
      <c r="H50" s="43">
        <f t="shared" si="21"/>
        <v>379.59054731455228</v>
      </c>
      <c r="I50" s="43">
        <f t="shared" si="21"/>
        <v>431.87625626974045</v>
      </c>
      <c r="J50" s="43">
        <f t="shared" si="21"/>
        <v>490.20353905667724</v>
      </c>
      <c r="K50" s="43">
        <f t="shared" si="21"/>
        <v>555.11683550604778</v>
      </c>
      <c r="L50" s="43">
        <f t="shared" si="21"/>
        <v>627.19212997964826</v>
      </c>
      <c r="M50" s="43">
        <f t="shared" si="21"/>
        <v>707.03707601375072</v>
      </c>
      <c r="N50" s="43">
        <f t="shared" si="21"/>
        <v>795.29095940861134</v>
      </c>
      <c r="O50" s="43">
        <f t="shared" si="21"/>
        <v>892.62449221839313</v>
      </c>
      <c r="P50" s="43">
        <f t="shared" si="21"/>
        <v>999.73943128460041</v>
      </c>
      <c r="Q50" s="44">
        <f>RATE(9,,-G50,P50)</f>
        <v>0.12998674141946859</v>
      </c>
    </row>
    <row r="51" spans="1:17" x14ac:dyDescent="0.25">
      <c r="A51" s="1"/>
      <c r="B51" s="3"/>
      <c r="D51" s="42">
        <v>0.13200000000000001</v>
      </c>
      <c r="E51" s="42">
        <v>0.13280572559117043</v>
      </c>
      <c r="F51" s="42">
        <v>0.13361636931664592</v>
      </c>
      <c r="G51" s="42">
        <v>0.13443196119662848</v>
      </c>
      <c r="H51" s="42">
        <v>0.13525253143456298</v>
      </c>
      <c r="I51" s="42">
        <v>0.13607811041825546</v>
      </c>
      <c r="J51" s="42">
        <v>0.13690872872099871</v>
      </c>
      <c r="K51" s="42">
        <v>0.1377444171027041</v>
      </c>
      <c r="L51" s="42">
        <v>0.13858520651104125</v>
      </c>
      <c r="M51" s="42">
        <v>0.13943112808258357</v>
      </c>
      <c r="N51" s="42">
        <v>0.14028221314396158</v>
      </c>
      <c r="O51" s="42">
        <v>0.14113849321302305</v>
      </c>
      <c r="P51" s="42">
        <v>0.14200000000000007</v>
      </c>
    </row>
    <row r="52" spans="1:17" x14ac:dyDescent="0.25">
      <c r="A52" s="1" t="s">
        <v>6</v>
      </c>
      <c r="B52" s="15">
        <v>0.08</v>
      </c>
      <c r="C52" s="16">
        <f>B52*C44</f>
        <v>102.34224</v>
      </c>
      <c r="D52" s="43">
        <f>C52*(1+D45)</f>
        <v>116.1584424</v>
      </c>
      <c r="E52" s="43">
        <f>D52*(1+E51)</f>
        <v>131.5849486264722</v>
      </c>
      <c r="F52" s="43">
        <f t="shared" ref="F52:P52" si="22">E52*(1+F51)</f>
        <v>149.16685171865879</v>
      </c>
      <c r="G52" s="43">
        <f t="shared" si="22"/>
        <v>169.21964414072477</v>
      </c>
      <c r="H52" s="43">
        <f t="shared" si="22"/>
        <v>192.10702937921371</v>
      </c>
      <c r="I52" s="43">
        <f t="shared" si="22"/>
        <v>218.24859093520138</v>
      </c>
      <c r="J52" s="43">
        <f t="shared" si="22"/>
        <v>248.12872806528907</v>
      </c>
      <c r="K52" s="43">
        <f t="shared" si="22"/>
        <v>282.30707507907766</v>
      </c>
      <c r="L52" s="43">
        <f t="shared" si="22"/>
        <v>321.43065937843971</v>
      </c>
      <c r="M52" s="43">
        <f t="shared" si="22"/>
        <v>366.2480988159042</v>
      </c>
      <c r="N52" s="43">
        <f t="shared" si="22"/>
        <v>417.62619267756759</v>
      </c>
      <c r="O52" s="43">
        <f t="shared" si="22"/>
        <v>476.56932423837111</v>
      </c>
      <c r="P52" s="43">
        <f t="shared" si="22"/>
        <v>544.24216828021986</v>
      </c>
      <c r="Q52" s="44">
        <f>RATE(9,,-G52,P52)</f>
        <v>0.13860023172808342</v>
      </c>
    </row>
    <row r="53" spans="1:17" x14ac:dyDescent="0.25">
      <c r="A53" s="1"/>
      <c r="B53" s="3"/>
      <c r="D53" s="42">
        <v>0.11199999999999997</v>
      </c>
      <c r="E53" s="42">
        <v>0.11113048296424709</v>
      </c>
      <c r="F53" s="42">
        <v>0.11026771646309658</v>
      </c>
      <c r="G53" s="42">
        <v>0.10941164808846951</v>
      </c>
      <c r="H53" s="42">
        <v>0.10856222583915948</v>
      </c>
      <c r="I53" s="42">
        <v>0.10771939811767374</v>
      </c>
      <c r="J53" s="42">
        <v>0.10688311372709908</v>
      </c>
      <c r="K53" s="42">
        <v>0.1060533218679917</v>
      </c>
      <c r="L53" s="42">
        <v>0.10522997213529167</v>
      </c>
      <c r="M53" s="42">
        <v>0.10441301451526099</v>
      </c>
      <c r="N53" s="42">
        <v>0.10360239938244552</v>
      </c>
      <c r="O53" s="42">
        <v>0.1027980774966606</v>
      </c>
      <c r="P53" s="42">
        <v>0.10199999999999995</v>
      </c>
    </row>
    <row r="54" spans="1:17" ht="15.75" thickBot="1" x14ac:dyDescent="0.3">
      <c r="A54" s="26" t="s">
        <v>42</v>
      </c>
      <c r="B54" s="18">
        <f>1-SUM(B46+B48+B50+B52)</f>
        <v>0.35</v>
      </c>
      <c r="C54" s="19">
        <f>B54*C44</f>
        <v>447.7473</v>
      </c>
      <c r="D54" s="19">
        <f>C54*(1+D47)</f>
        <v>487.59680969999999</v>
      </c>
      <c r="E54" s="43">
        <f>D54*(1+E53)</f>
        <v>541.78367865378698</v>
      </c>
      <c r="F54" s="43">
        <f t="shared" ref="F54:P54" si="23">E54*(1+F53)</f>
        <v>601.52492771591619</v>
      </c>
      <c r="G54" s="43">
        <f t="shared" si="23"/>
        <v>667.33876142361203</v>
      </c>
      <c r="H54" s="43">
        <f t="shared" si="23"/>
        <v>739.7865427525071</v>
      </c>
      <c r="I54" s="43">
        <f t="shared" si="23"/>
        <v>819.47590387336197</v>
      </c>
      <c r="J54" s="43">
        <f t="shared" si="23"/>
        <v>907.06404010367589</v>
      </c>
      <c r="K54" s="43">
        <f t="shared" si="23"/>
        <v>1003.261194703672</v>
      </c>
      <c r="L54" s="43">
        <f t="shared" si="23"/>
        <v>1108.8343422667588</v>
      </c>
      <c r="M54" s="43">
        <f t="shared" si="23"/>
        <v>1224.6110785408778</v>
      </c>
      <c r="N54" s="43">
        <f t="shared" si="23"/>
        <v>1351.4837245880371</v>
      </c>
      <c r="O54" s="43">
        <f t="shared" si="23"/>
        <v>1490.4136532437137</v>
      </c>
      <c r="P54" s="43">
        <f t="shared" si="23"/>
        <v>1642.4358458745724</v>
      </c>
      <c r="Q54" s="44">
        <f>RATE(9,,-G54,P54)</f>
        <v>0.10524925114111873</v>
      </c>
    </row>
    <row r="55" spans="1:17" ht="15.75" thickBot="1" x14ac:dyDescent="0.3">
      <c r="A55" s="1"/>
      <c r="B55" s="15">
        <f>B46+B48+B50+B52+B54</f>
        <v>1</v>
      </c>
      <c r="P55" s="21"/>
    </row>
    <row r="56" spans="1:17" x14ac:dyDescent="0.25">
      <c r="A56" s="27" t="s">
        <v>43</v>
      </c>
      <c r="B56" s="9">
        <f>1-SUM(B10+B16+B34+B44)</f>
        <v>5.2000000000000046E-2</v>
      </c>
      <c r="C56" s="24">
        <f>E3*B56</f>
        <v>284.28400000000028</v>
      </c>
      <c r="D56" s="10">
        <f>D58+D60+D62+D64</f>
        <v>307.08357680000029</v>
      </c>
      <c r="E56" s="10">
        <f t="shared" ref="E56:P56" si="24">E58+E60+E62+E64</f>
        <v>324.44817124639212</v>
      </c>
      <c r="F56" s="10">
        <f t="shared" si="24"/>
        <v>342.97580214214793</v>
      </c>
      <c r="G56" s="10">
        <f t="shared" si="24"/>
        <v>362.75617198836312</v>
      </c>
      <c r="H56" s="10">
        <f t="shared" si="24"/>
        <v>383.88681357416795</v>
      </c>
      <c r="I56" s="10">
        <f t="shared" si="24"/>
        <v>406.47385301941029</v>
      </c>
      <c r="J56" s="10">
        <f t="shared" si="24"/>
        <v>430.6328548245591</v>
      </c>
      <c r="K56" s="10">
        <f t="shared" si="24"/>
        <v>456.48975854208902</v>
      </c>
      <c r="L56" s="10">
        <f t="shared" si="24"/>
        <v>484.18191790115463</v>
      </c>
      <c r="M56" s="10">
        <f t="shared" si="24"/>
        <v>513.85925460004955</v>
      </c>
      <c r="N56" s="10">
        <f t="shared" si="24"/>
        <v>545.68554055260176</v>
      </c>
      <c r="O56" s="10">
        <f t="shared" si="24"/>
        <v>579.83982416273386</v>
      </c>
      <c r="P56" s="10">
        <f t="shared" si="24"/>
        <v>616.51801823757569</v>
      </c>
      <c r="Q56" s="44">
        <f>RATE(9,,-G56,P56)</f>
        <v>6.0699414851577545E-2</v>
      </c>
    </row>
    <row r="57" spans="1:17" x14ac:dyDescent="0.25">
      <c r="A57" s="2"/>
      <c r="D57" s="42">
        <v>5.6000000000000022E-2</v>
      </c>
      <c r="E57" s="42">
        <v>5.640052903547664E-2</v>
      </c>
      <c r="F57" s="42">
        <v>5.6803922776457884E-2</v>
      </c>
      <c r="G57" s="42">
        <v>5.7210201712189011E-2</v>
      </c>
      <c r="H57" s="42">
        <v>5.7619386478460537E-2</v>
      </c>
      <c r="I57" s="42">
        <v>5.8031497858656474E-2</v>
      </c>
      <c r="J57" s="42">
        <v>5.8446556784809874E-2</v>
      </c>
      <c r="K57" s="42">
        <v>5.8864584338666114E-2</v>
      </c>
      <c r="L57" s="42">
        <v>5.9285601752753568E-2</v>
      </c>
      <c r="M57" s="42">
        <v>5.9709630411462163E-2</v>
      </c>
      <c r="N57" s="42">
        <v>6.0136691852129442E-2</v>
      </c>
      <c r="O57" s="42">
        <v>6.0566807766134594E-2</v>
      </c>
      <c r="P57" s="42">
        <v>6.1000000000000068E-2</v>
      </c>
    </row>
    <row r="58" spans="1:17" x14ac:dyDescent="0.25">
      <c r="A58" s="1" t="s">
        <v>9</v>
      </c>
      <c r="B58" s="15">
        <v>0.2</v>
      </c>
      <c r="C58" s="16">
        <f>B58*C56</f>
        <v>56.856800000000057</v>
      </c>
      <c r="D58" s="43">
        <f>C58*(1+D51)</f>
        <v>64.361897600000077</v>
      </c>
      <c r="E58" s="43">
        <f>D58*(1+E57)</f>
        <v>67.991942674367252</v>
      </c>
      <c r="F58" s="43">
        <f t="shared" ref="F58:P58" si="25">E58*(1+F57)</f>
        <v>71.854151735463361</v>
      </c>
      <c r="G58" s="43">
        <f t="shared" si="25"/>
        <v>75.964942250107455</v>
      </c>
      <c r="H58" s="43">
        <f t="shared" si="25"/>
        <v>80.341995616430324</v>
      </c>
      <c r="I58" s="43">
        <f t="shared" si="25"/>
        <v>85.004361963005394</v>
      </c>
      <c r="J58" s="43">
        <f t="shared" si="25"/>
        <v>89.972574231432716</v>
      </c>
      <c r="K58" s="43">
        <f t="shared" si="25"/>
        <v>95.268772415445781</v>
      </c>
      <c r="L58" s="43">
        <f t="shared" si="25"/>
        <v>100.91683891634162</v>
      </c>
      <c r="M58" s="43">
        <f t="shared" si="25"/>
        <v>106.94254607032944</v>
      </c>
      <c r="N58" s="43">
        <f t="shared" si="25"/>
        <v>113.37371700924299</v>
      </c>
      <c r="O58" s="43">
        <f t="shared" si="25"/>
        <v>120.24040113307396</v>
      </c>
      <c r="P58" s="43">
        <f t="shared" si="25"/>
        <v>127.57506560219149</v>
      </c>
      <c r="Q58" s="44">
        <f>RATE(9,,-G58,P58)</f>
        <v>5.9295077790838487E-2</v>
      </c>
    </row>
    <row r="59" spans="1:17" x14ac:dyDescent="0.25">
      <c r="A59" s="1"/>
      <c r="B59" s="3"/>
      <c r="D59" s="42">
        <v>6.2E-2</v>
      </c>
      <c r="E59" s="42">
        <v>6.277741423684903E-2</v>
      </c>
      <c r="F59" s="42">
        <v>6.3564576423628005E-2</v>
      </c>
      <c r="G59" s="42">
        <v>6.4361608789289385E-2</v>
      </c>
      <c r="H59" s="42">
        <v>6.5168635095407157E-2</v>
      </c>
      <c r="I59" s="42">
        <v>6.598578065539408E-2</v>
      </c>
      <c r="J59" s="42">
        <v>6.6813172353960226E-2</v>
      </c>
      <c r="K59" s="42">
        <v>6.7650938666815333E-2</v>
      </c>
      <c r="L59" s="42">
        <v>6.8499209680618289E-2</v>
      </c>
      <c r="M59" s="42">
        <v>6.9358117113176673E-2</v>
      </c>
      <c r="N59" s="42">
        <v>7.0227794333899682E-2</v>
      </c>
      <c r="O59" s="42">
        <v>7.1108376384507413E-2</v>
      </c>
      <c r="P59" s="42">
        <v>7.1999999999999911E-2</v>
      </c>
    </row>
    <row r="60" spans="1:17" x14ac:dyDescent="0.25">
      <c r="A60" s="1" t="s">
        <v>46</v>
      </c>
      <c r="B60" s="15">
        <v>0.1</v>
      </c>
      <c r="C60" s="16">
        <f>B60*C56</f>
        <v>28.428400000000028</v>
      </c>
      <c r="D60" s="43">
        <f>C60*(1+D53)</f>
        <v>31.612380800000029</v>
      </c>
      <c r="E60" s="43">
        <f>D60*(1+E59)</f>
        <v>33.596924324494644</v>
      </c>
      <c r="F60" s="43">
        <f t="shared" ref="F60:P60" si="26">E60*(1+F59)</f>
        <v>35.732498588317824</v>
      </c>
      <c r="G60" s="43">
        <f t="shared" si="26"/>
        <v>38.032299683522972</v>
      </c>
      <c r="H60" s="43">
        <f t="shared" si="26"/>
        <v>40.510812743437654</v>
      </c>
      <c r="I60" s="43">
        <f t="shared" si="26"/>
        <v>43.183950347297873</v>
      </c>
      <c r="J60" s="43">
        <f t="shared" si="26"/>
        <v>46.069207064776748</v>
      </c>
      <c r="K60" s="43">
        <f t="shared" si="26"/>
        <v>49.185832166344774</v>
      </c>
      <c r="L60" s="43">
        <f t="shared" si="26"/>
        <v>52.555022797222925</v>
      </c>
      <c r="M60" s="43">
        <f t="shared" si="26"/>
        <v>56.200140223278389</v>
      </c>
      <c r="N60" s="43">
        <f t="shared" si="26"/>
        <v>60.1469521124151</v>
      </c>
      <c r="O60" s="43">
        <f t="shared" si="26"/>
        <v>64.423904221605667</v>
      </c>
      <c r="P60" s="43">
        <f t="shared" si="26"/>
        <v>69.062425325561264</v>
      </c>
      <c r="Q60" s="44">
        <f>RATE(9,,-G60,P60)</f>
        <v>6.8532394811119862E-2</v>
      </c>
    </row>
    <row r="61" spans="1:17" x14ac:dyDescent="0.25">
      <c r="A61" s="1"/>
      <c r="B61" s="3"/>
      <c r="D61" s="42">
        <v>7.2999999999999968E-2</v>
      </c>
      <c r="E61" s="42">
        <v>7.3710684262210335E-2</v>
      </c>
      <c r="F61" s="42">
        <v>7.4428287320592673E-2</v>
      </c>
      <c r="G61" s="42">
        <v>7.5152876532401103E-2</v>
      </c>
      <c r="H61" s="42">
        <v>7.5884519910639686E-2</v>
      </c>
      <c r="I61" s="42">
        <v>7.6623286130446264E-2</v>
      </c>
      <c r="J61" s="42">
        <v>7.7369244535538742E-2</v>
      </c>
      <c r="K61" s="42">
        <v>7.8122465144723832E-2</v>
      </c>
      <c r="L61" s="42">
        <v>7.88830186584695E-2</v>
      </c>
      <c r="M61" s="42">
        <v>7.9650976465541021E-2</v>
      </c>
      <c r="N61" s="42">
        <v>8.0426410649701963E-2</v>
      </c>
      <c r="O61" s="42">
        <v>8.1209393996480195E-2</v>
      </c>
      <c r="P61" s="42">
        <v>8.1999999999999906E-2</v>
      </c>
    </row>
    <row r="62" spans="1:17" x14ac:dyDescent="0.25">
      <c r="A62" s="1" t="s">
        <v>10</v>
      </c>
      <c r="B62" s="15">
        <v>0.2</v>
      </c>
      <c r="C62" s="16">
        <f>B62*C56</f>
        <v>56.856800000000057</v>
      </c>
      <c r="D62" s="43">
        <f>C62*(1+D61)</f>
        <v>61.00734640000006</v>
      </c>
      <c r="E62" s="43">
        <f t="shared" ref="E62:P62" si="27">D62*(1+E61)</f>
        <v>65.504239648165765</v>
      </c>
      <c r="F62" s="43">
        <f t="shared" si="27"/>
        <v>70.379608017416402</v>
      </c>
      <c r="G62" s="43">
        <f t="shared" si="27"/>
        <v>75.668838009148075</v>
      </c>
      <c r="H62" s="43">
        <f t="shared" si="27"/>
        <v>81.41093145366824</v>
      </c>
      <c r="I62" s="43">
        <f t="shared" si="27"/>
        <v>87.648904548588817</v>
      </c>
      <c r="J62" s="43">
        <f t="shared" si="27"/>
        <v>94.430234077880684</v>
      </c>
      <c r="K62" s="43">
        <f t="shared" si="27"/>
        <v>101.80735674823804</v>
      </c>
      <c r="L62" s="43">
        <f t="shared" si="27"/>
        <v>109.83822837017875</v>
      </c>
      <c r="M62" s="43">
        <f t="shared" si="27"/>
        <v>118.58695051310859</v>
      </c>
      <c r="N62" s="43">
        <f t="shared" si="27"/>
        <v>128.12447329277174</v>
      </c>
      <c r="O62" s="43">
        <f t="shared" si="27"/>
        <v>138.52938412499594</v>
      </c>
      <c r="P62" s="43">
        <f t="shared" si="27"/>
        <v>149.88879362324559</v>
      </c>
      <c r="Q62" s="44">
        <f>RATE(9,,-G62,P62)</f>
        <v>7.8905896391877561E-2</v>
      </c>
    </row>
    <row r="63" spans="1:17" x14ac:dyDescent="0.25">
      <c r="A63" s="1"/>
      <c r="B63" s="3"/>
      <c r="D63" s="42">
        <v>4.8000000000000001E-2</v>
      </c>
      <c r="E63" s="42">
        <v>4.8321241014669079E-2</v>
      </c>
      <c r="F63" s="42">
        <v>4.8644631941619533E-2</v>
      </c>
      <c r="G63" s="42">
        <v>4.8970187169184734E-2</v>
      </c>
      <c r="H63" s="42">
        <v>4.9297921181992312E-2</v>
      </c>
      <c r="I63" s="42">
        <v>4.9627848561608554E-2</v>
      </c>
      <c r="J63" s="42">
        <v>4.99599839871872E-2</v>
      </c>
      <c r="K63" s="42">
        <v>5.0294342236122509E-2</v>
      </c>
      <c r="L63" s="42">
        <v>5.0630938184706806E-2</v>
      </c>
      <c r="M63" s="42">
        <v>5.0969786808792286E-2</v>
      </c>
      <c r="N63" s="42">
        <v>5.1310903184457343E-2</v>
      </c>
      <c r="O63" s="42">
        <v>5.1654302488677382E-2</v>
      </c>
      <c r="P63" s="42">
        <v>5.2000000000000025E-2</v>
      </c>
    </row>
    <row r="64" spans="1:17" ht="15.75" thickBot="1" x14ac:dyDescent="0.3">
      <c r="A64" s="26" t="s">
        <v>42</v>
      </c>
      <c r="B64" s="18">
        <f>1-SUM(B58+B60+B62)</f>
        <v>0.5</v>
      </c>
      <c r="C64" s="19">
        <f>B64*C56</f>
        <v>142.14200000000014</v>
      </c>
      <c r="D64" s="43">
        <f>C64*(1+D57)</f>
        <v>150.10195200000015</v>
      </c>
      <c r="E64" s="43">
        <f>D64*(1+E63)</f>
        <v>157.35506459936445</v>
      </c>
      <c r="F64" s="43">
        <f t="shared" ref="F64:P64" si="28">E64*(1+F63)</f>
        <v>165.00954380095033</v>
      </c>
      <c r="G64" s="43">
        <f t="shared" si="28"/>
        <v>173.09009204558467</v>
      </c>
      <c r="H64" s="43">
        <f t="shared" si="28"/>
        <v>181.62307376063171</v>
      </c>
      <c r="I64" s="43">
        <f t="shared" si="28"/>
        <v>190.63663616051821</v>
      </c>
      <c r="J64" s="43">
        <f t="shared" si="28"/>
        <v>200.16083945046893</v>
      </c>
      <c r="K64" s="43">
        <f t="shared" si="28"/>
        <v>210.22779721206041</v>
      </c>
      <c r="L64" s="43">
        <f t="shared" si="28"/>
        <v>220.87182781741132</v>
      </c>
      <c r="M64" s="43">
        <f t="shared" si="28"/>
        <v>232.12961779333307</v>
      </c>
      <c r="N64" s="43">
        <f t="shared" si="28"/>
        <v>244.04039813817189</v>
      </c>
      <c r="O64" s="43">
        <f t="shared" si="28"/>
        <v>256.64613468305828</v>
      </c>
      <c r="P64" s="43">
        <f t="shared" si="28"/>
        <v>269.99173368657733</v>
      </c>
      <c r="Q64" s="44">
        <f>RATE(9,,-G64,P64)</f>
        <v>5.0638085465326367E-2</v>
      </c>
    </row>
    <row r="65" spans="2:2" x14ac:dyDescent="0.25">
      <c r="B65" s="15">
        <f>B58+B60+B62+B64</f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9A0E-EA09-40F2-BB3A-2DE2510FDF60}">
  <dimension ref="A2:AG83"/>
  <sheetViews>
    <sheetView showGridLines="0" topLeftCell="A14" zoomScale="90" zoomScaleNormal="90" workbookViewId="0">
      <selection activeCell="B36" sqref="B36"/>
    </sheetView>
  </sheetViews>
  <sheetFormatPr defaultRowHeight="15" x14ac:dyDescent="0.25"/>
  <cols>
    <col min="1" max="1" width="15.28515625" customWidth="1"/>
    <col min="2" max="2" width="26.140625" customWidth="1"/>
    <col min="17" max="17" width="11.7109375" customWidth="1"/>
    <col min="18" max="18" width="26.42578125" customWidth="1"/>
    <col min="19" max="19" width="24.28515625" customWidth="1"/>
  </cols>
  <sheetData>
    <row r="2" spans="1:33" ht="26.25" x14ac:dyDescent="0.4">
      <c r="A2" s="109" t="s">
        <v>54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70"/>
    </row>
    <row r="3" spans="1:33" ht="26.25" x14ac:dyDescent="0.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70"/>
    </row>
    <row r="4" spans="1:33" ht="26.25" x14ac:dyDescent="0.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70"/>
    </row>
    <row r="5" spans="1:33" ht="26.25" x14ac:dyDescent="0.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70"/>
    </row>
    <row r="6" spans="1:33" ht="26.25" x14ac:dyDescent="0.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70"/>
    </row>
    <row r="7" spans="1:33" ht="26.25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70"/>
    </row>
    <row r="8" spans="1:33" ht="26.25" x14ac:dyDescent="0.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70"/>
    </row>
    <row r="9" spans="1:33" ht="26.25" x14ac:dyDescent="0.4">
      <c r="A9" s="103"/>
      <c r="B9" s="103"/>
      <c r="C9" s="10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70"/>
    </row>
    <row r="10" spans="1:33" ht="26.25" x14ac:dyDescent="0.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70"/>
    </row>
    <row r="11" spans="1:33" ht="27" thickBot="1" x14ac:dyDescent="0.4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70"/>
    </row>
    <row r="12" spans="1:33" ht="15.75" x14ac:dyDescent="0.25">
      <c r="A12" s="49"/>
      <c r="B12" s="50"/>
      <c r="C12" s="100"/>
      <c r="D12" s="98">
        <v>2023</v>
      </c>
      <c r="E12" s="72">
        <v>2024</v>
      </c>
      <c r="F12" s="72">
        <v>2025</v>
      </c>
      <c r="G12" s="72">
        <v>2026</v>
      </c>
      <c r="H12" s="72">
        <v>2027</v>
      </c>
      <c r="I12" s="72">
        <v>2028</v>
      </c>
      <c r="J12" s="72">
        <v>2029</v>
      </c>
      <c r="K12" s="72">
        <v>2030</v>
      </c>
      <c r="L12" s="72">
        <v>2031</v>
      </c>
      <c r="M12" s="72">
        <v>2032</v>
      </c>
      <c r="N12" s="72">
        <v>2033</v>
      </c>
      <c r="O12" s="72">
        <v>2034</v>
      </c>
      <c r="P12" s="72">
        <v>2035</v>
      </c>
      <c r="Q12" s="72">
        <v>2036</v>
      </c>
      <c r="R12" s="73" t="s">
        <v>13</v>
      </c>
    </row>
    <row r="13" spans="1:33" ht="16.5" thickBot="1" x14ac:dyDescent="0.3">
      <c r="A13" s="26"/>
      <c r="B13" s="101"/>
      <c r="C13" s="102"/>
      <c r="D13" s="99">
        <f>D38+D64</f>
        <v>1989.9880000000001</v>
      </c>
      <c r="E13" s="99">
        <f t="shared" ref="E13:Q32" si="0">E38+E64</f>
        <v>2271.4121029600001</v>
      </c>
      <c r="F13" s="99">
        <f t="shared" si="0"/>
        <v>2596.1077595441948</v>
      </c>
      <c r="G13" s="99">
        <f t="shared" si="0"/>
        <v>2971.233181887007</v>
      </c>
      <c r="H13" s="99">
        <f t="shared" si="0"/>
        <v>3405.2109126721521</v>
      </c>
      <c r="I13" s="99">
        <f t="shared" si="0"/>
        <v>3907.9648618525744</v>
      </c>
      <c r="J13" s="99">
        <f t="shared" si="0"/>
        <v>4491.2042902532585</v>
      </c>
      <c r="K13" s="99">
        <f t="shared" si="0"/>
        <v>5168.7645240530783</v>
      </c>
      <c r="L13" s="99">
        <f t="shared" si="0"/>
        <v>5957.0163225063034</v>
      </c>
      <c r="M13" s="99">
        <f t="shared" si="0"/>
        <v>6875.3584483240638</v>
      </c>
      <c r="N13" s="99">
        <f t="shared" si="0"/>
        <v>7946.8112223783965</v>
      </c>
      <c r="O13" s="99">
        <f t="shared" si="0"/>
        <v>9198.7328271987044</v>
      </c>
      <c r="P13" s="99">
        <f t="shared" si="0"/>
        <v>10663.68503882474</v>
      </c>
      <c r="Q13" s="99">
        <f t="shared" si="0"/>
        <v>12380.48114145476</v>
      </c>
      <c r="R13" s="75">
        <f>RATE(12,,-E13,Q13)</f>
        <v>0.15178158938739297</v>
      </c>
      <c r="T13" s="72">
        <v>2023</v>
      </c>
      <c r="U13" s="72">
        <v>2024</v>
      </c>
      <c r="V13" s="72">
        <v>2025</v>
      </c>
      <c r="W13" s="72">
        <v>2026</v>
      </c>
      <c r="X13" s="72">
        <v>2027</v>
      </c>
      <c r="Y13" s="72">
        <v>2028</v>
      </c>
      <c r="Z13" s="72">
        <v>2029</v>
      </c>
      <c r="AA13" s="72">
        <v>2030</v>
      </c>
      <c r="AB13" s="72">
        <v>2031</v>
      </c>
      <c r="AC13" s="72">
        <v>2032</v>
      </c>
      <c r="AD13" s="72">
        <v>2033</v>
      </c>
      <c r="AE13" s="72">
        <v>2034</v>
      </c>
      <c r="AF13" s="72">
        <v>2035</v>
      </c>
      <c r="AG13" s="72">
        <v>2036</v>
      </c>
    </row>
    <row r="14" spans="1:33" x14ac:dyDescent="0.25">
      <c r="A14" s="110" t="s">
        <v>51</v>
      </c>
      <c r="B14" s="59" t="s">
        <v>34</v>
      </c>
      <c r="C14" s="52"/>
      <c r="D14" s="86">
        <f>D39+D65</f>
        <v>1114.39328</v>
      </c>
      <c r="E14" s="86">
        <f t="shared" si="0"/>
        <v>1274.0841421178811</v>
      </c>
      <c r="F14" s="86">
        <f t="shared" si="0"/>
        <v>1458.6094997895675</v>
      </c>
      <c r="G14" s="86">
        <f t="shared" si="0"/>
        <v>1672.1190964104512</v>
      </c>
      <c r="H14" s="86">
        <f t="shared" si="0"/>
        <v>1919.5022897329879</v>
      </c>
      <c r="I14" s="86">
        <f t="shared" si="0"/>
        <v>2206.5278630794592</v>
      </c>
      <c r="J14" s="86">
        <f t="shared" si="0"/>
        <v>2540.0117383563074</v>
      </c>
      <c r="K14" s="86">
        <f t="shared" si="0"/>
        <v>2928.0184469355399</v>
      </c>
      <c r="L14" s="86">
        <f t="shared" si="0"/>
        <v>3380.1035028288998</v>
      </c>
      <c r="M14" s="86">
        <f t="shared" si="0"/>
        <v>3907.6054072122629</v>
      </c>
      <c r="N14" s="86">
        <f t="shared" si="0"/>
        <v>4523.9979652976663</v>
      </c>
      <c r="O14" s="86">
        <f t="shared" si="0"/>
        <v>5245.3160045540444</v>
      </c>
      <c r="P14" s="86">
        <f t="shared" si="0"/>
        <v>6090.6705584098872</v>
      </c>
      <c r="Q14" s="86">
        <f t="shared" si="0"/>
        <v>7082.8732610262559</v>
      </c>
      <c r="R14" s="84">
        <f>RATE(12,,-E14,Q14)</f>
        <v>0.15367712093297278</v>
      </c>
      <c r="S14" s="59" t="s">
        <v>34</v>
      </c>
      <c r="T14" s="12">
        <v>0.56000000000000005</v>
      </c>
      <c r="U14" s="12">
        <v>0.56092161367703952</v>
      </c>
      <c r="V14" s="12">
        <v>0.56184474408938223</v>
      </c>
      <c r="W14" s="12">
        <v>0.56276939373317769</v>
      </c>
      <c r="X14" s="12">
        <v>0.56369556510868446</v>
      </c>
      <c r="Y14" s="12">
        <v>0.56462326072027491</v>
      </c>
      <c r="Z14" s="12">
        <v>0.56555248307644368</v>
      </c>
      <c r="AA14" s="12">
        <v>0.56648323468981299</v>
      </c>
      <c r="AB14" s="12">
        <v>0.56741551807714108</v>
      </c>
      <c r="AC14" s="12">
        <v>0.56834933575932756</v>
      </c>
      <c r="AD14" s="12">
        <v>0.56928469026142059</v>
      </c>
      <c r="AE14" s="12">
        <v>0.57022158411262425</v>
      </c>
      <c r="AF14" s="12">
        <v>0.57116001984630527</v>
      </c>
      <c r="AG14" s="12">
        <v>0.57209999999999905</v>
      </c>
    </row>
    <row r="15" spans="1:33" ht="15.75" thickBot="1" x14ac:dyDescent="0.3">
      <c r="A15" s="111"/>
      <c r="B15" s="60" t="s">
        <v>35</v>
      </c>
      <c r="C15" s="53"/>
      <c r="D15" s="87">
        <f>D40+D66</f>
        <v>875.59471999999994</v>
      </c>
      <c r="E15" s="87">
        <f t="shared" si="0"/>
        <v>997.32796084211907</v>
      </c>
      <c r="F15" s="87">
        <f t="shared" si="0"/>
        <v>1137.4982597546273</v>
      </c>
      <c r="G15" s="87">
        <f t="shared" si="0"/>
        <v>1299.1140854765556</v>
      </c>
      <c r="H15" s="87">
        <f t="shared" si="0"/>
        <v>1485.7086229391641</v>
      </c>
      <c r="I15" s="87">
        <f t="shared" si="0"/>
        <v>1701.436998773115</v>
      </c>
      <c r="J15" s="87">
        <f t="shared" si="0"/>
        <v>1951.1925518969513</v>
      </c>
      <c r="K15" s="87">
        <f t="shared" si="0"/>
        <v>2240.7460771175388</v>
      </c>
      <c r="L15" s="87">
        <f t="shared" si="0"/>
        <v>2576.9128196774031</v>
      </c>
      <c r="M15" s="87">
        <f t="shared" si="0"/>
        <v>2967.7530411118014</v>
      </c>
      <c r="N15" s="87">
        <f t="shared" si="0"/>
        <v>3422.8132570807302</v>
      </c>
      <c r="O15" s="87">
        <f t="shared" si="0"/>
        <v>3953.4168226446609</v>
      </c>
      <c r="P15" s="87">
        <f t="shared" si="0"/>
        <v>4573.0144804148531</v>
      </c>
      <c r="Q15" s="87">
        <f t="shared" si="0"/>
        <v>5297.6078804285044</v>
      </c>
      <c r="R15" s="85">
        <f>RATE(12,,-E15,Q15)</f>
        <v>0.14930902721910941</v>
      </c>
      <c r="S15" s="60" t="s">
        <v>35</v>
      </c>
      <c r="T15" s="12">
        <f>1-T14</f>
        <v>0.43999999999999995</v>
      </c>
      <c r="U15" s="12">
        <f t="shared" ref="U15:AG15" si="1">1-U14</f>
        <v>0.43907838632296048</v>
      </c>
      <c r="V15" s="12">
        <f t="shared" si="1"/>
        <v>0.43815525591061777</v>
      </c>
      <c r="W15" s="12">
        <f t="shared" si="1"/>
        <v>0.43723060626682231</v>
      </c>
      <c r="X15" s="12">
        <f t="shared" si="1"/>
        <v>0.43630443489131554</v>
      </c>
      <c r="Y15" s="12">
        <f t="shared" si="1"/>
        <v>0.43537673927972509</v>
      </c>
      <c r="Z15" s="12">
        <f t="shared" si="1"/>
        <v>0.43444751692355632</v>
      </c>
      <c r="AA15" s="12">
        <f t="shared" si="1"/>
        <v>0.43351676531018701</v>
      </c>
      <c r="AB15" s="12">
        <f t="shared" si="1"/>
        <v>0.43258448192285892</v>
      </c>
      <c r="AC15" s="12">
        <f t="shared" si="1"/>
        <v>0.43165066424067244</v>
      </c>
      <c r="AD15" s="12">
        <f t="shared" si="1"/>
        <v>0.43071530973857941</v>
      </c>
      <c r="AE15" s="12">
        <f t="shared" si="1"/>
        <v>0.42977841588737575</v>
      </c>
      <c r="AF15" s="12">
        <f t="shared" si="1"/>
        <v>0.42883998015369473</v>
      </c>
      <c r="AG15" s="12">
        <f t="shared" si="1"/>
        <v>0.42790000000000095</v>
      </c>
    </row>
    <row r="16" spans="1:33" ht="15.75" thickBot="1" x14ac:dyDescent="0.3">
      <c r="A16" s="1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21"/>
    </row>
    <row r="17" spans="1:33" x14ac:dyDescent="0.25">
      <c r="A17" s="110" t="s">
        <v>15</v>
      </c>
      <c r="B17" s="64" t="s">
        <v>16</v>
      </c>
      <c r="C17" s="54"/>
      <c r="D17" s="89">
        <f>D42+D68</f>
        <v>937.28434799999991</v>
      </c>
      <c r="E17" s="89">
        <f t="shared" si="0"/>
        <v>1068.4373084307999</v>
      </c>
      <c r="F17" s="89">
        <f t="shared" si="0"/>
        <v>1219.5715451951071</v>
      </c>
      <c r="G17" s="89">
        <f t="shared" si="0"/>
        <v>1393.9654751022192</v>
      </c>
      <c r="H17" s="89">
        <f t="shared" si="0"/>
        <v>1595.4722822373903</v>
      </c>
      <c r="I17" s="89">
        <f t="shared" si="0"/>
        <v>1828.6269426653234</v>
      </c>
      <c r="J17" s="89">
        <f t="shared" si="0"/>
        <v>2098.7743125606571</v>
      </c>
      <c r="K17" s="89">
        <f t="shared" si="0"/>
        <v>2412.2226436484634</v>
      </c>
      <c r="L17" s="89">
        <f t="shared" si="0"/>
        <v>2776.4278383127453</v>
      </c>
      <c r="M17" s="89">
        <f t="shared" si="0"/>
        <v>3200.2149208314545</v>
      </c>
      <c r="N17" s="89">
        <f t="shared" si="0"/>
        <v>3694.0446320640494</v>
      </c>
      <c r="O17" s="89">
        <f t="shared" si="0"/>
        <v>4270.3348163187829</v>
      </c>
      <c r="P17" s="89">
        <f t="shared" si="0"/>
        <v>4943.8484406920543</v>
      </c>
      <c r="Q17" s="89">
        <f t="shared" si="0"/>
        <v>5732.1627684935529</v>
      </c>
      <c r="R17" s="76">
        <f>RATE(12,,-E17,Q17)</f>
        <v>0.15026380920068616</v>
      </c>
      <c r="S17" s="64" t="s">
        <v>16</v>
      </c>
      <c r="T17" s="12">
        <v>0.47099999999999992</v>
      </c>
      <c r="U17" s="12">
        <v>0.47038461538461535</v>
      </c>
      <c r="V17" s="12">
        <v>0.46976923076923072</v>
      </c>
      <c r="W17" s="12">
        <v>0.46915384615384609</v>
      </c>
      <c r="X17" s="12">
        <v>0.46853846153846151</v>
      </c>
      <c r="Y17" s="12">
        <v>0.46792307692307689</v>
      </c>
      <c r="Z17" s="12">
        <v>0.46730769230769226</v>
      </c>
      <c r="AA17" s="12">
        <v>0.46669230769230763</v>
      </c>
      <c r="AB17" s="12">
        <v>0.46607692307692306</v>
      </c>
      <c r="AC17" s="12">
        <v>0.46546153846153843</v>
      </c>
      <c r="AD17" s="12">
        <v>0.4648461538461538</v>
      </c>
      <c r="AE17" s="12">
        <v>0.46423076923076922</v>
      </c>
      <c r="AF17" s="12">
        <v>0.4636153846153846</v>
      </c>
      <c r="AG17" s="12">
        <v>0.46299999999999997</v>
      </c>
    </row>
    <row r="18" spans="1:33" ht="15.75" thickBot="1" x14ac:dyDescent="0.3">
      <c r="A18" s="111"/>
      <c r="B18" s="65" t="s">
        <v>17</v>
      </c>
      <c r="C18" s="55"/>
      <c r="D18" s="90">
        <f>D43+D69</f>
        <v>1052.7036520000004</v>
      </c>
      <c r="E18" s="90">
        <f t="shared" si="0"/>
        <v>1202.9747945291999</v>
      </c>
      <c r="F18" s="90">
        <f t="shared" si="0"/>
        <v>1376.5362143490875</v>
      </c>
      <c r="G18" s="90">
        <f t="shared" si="0"/>
        <v>1577.2677067847876</v>
      </c>
      <c r="H18" s="90">
        <f t="shared" si="0"/>
        <v>1809.7386304347613</v>
      </c>
      <c r="I18" s="90">
        <f t="shared" si="0"/>
        <v>2079.3379191872509</v>
      </c>
      <c r="J18" s="90">
        <f t="shared" si="0"/>
        <v>2392.4299776926014</v>
      </c>
      <c r="K18" s="90">
        <f t="shared" si="0"/>
        <v>2756.5418804046153</v>
      </c>
      <c r="L18" s="90">
        <f t="shared" si="0"/>
        <v>3180.5884841935576</v>
      </c>
      <c r="M18" s="90">
        <f t="shared" si="0"/>
        <v>3675.1435274926102</v>
      </c>
      <c r="N18" s="90">
        <f t="shared" si="0"/>
        <v>4252.766590314347</v>
      </c>
      <c r="O18" s="90">
        <f t="shared" si="0"/>
        <v>4928.3980108799224</v>
      </c>
      <c r="P18" s="90">
        <f t="shared" si="0"/>
        <v>5719.836598132686</v>
      </c>
      <c r="Q18" s="90">
        <f t="shared" si="0"/>
        <v>6648.3183729612065</v>
      </c>
      <c r="R18" s="77">
        <f>RATE(12,,-E18,Q18)</f>
        <v>0.15311142038807712</v>
      </c>
      <c r="S18" s="65" t="s">
        <v>17</v>
      </c>
      <c r="T18" s="12">
        <f>1-T17</f>
        <v>0.52900000000000014</v>
      </c>
      <c r="U18" s="12">
        <f t="shared" ref="U18" si="2">1-U17</f>
        <v>0.5296153846153846</v>
      </c>
      <c r="V18" s="12">
        <f t="shared" ref="V18" si="3">1-V17</f>
        <v>0.53023076923076928</v>
      </c>
      <c r="W18" s="12">
        <f t="shared" ref="W18" si="4">1-W17</f>
        <v>0.53084615384615397</v>
      </c>
      <c r="X18" s="12">
        <f t="shared" ref="X18" si="5">1-X17</f>
        <v>0.53146153846153843</v>
      </c>
      <c r="Y18" s="12">
        <f t="shared" ref="Y18" si="6">1-Y17</f>
        <v>0.53207692307692311</v>
      </c>
      <c r="Z18" s="12">
        <f t="shared" ref="Z18" si="7">1-Z17</f>
        <v>0.5326923076923078</v>
      </c>
      <c r="AA18" s="12">
        <f t="shared" ref="AA18" si="8">1-AA17</f>
        <v>0.53330769230769237</v>
      </c>
      <c r="AB18" s="12">
        <f t="shared" ref="AB18" si="9">1-AB17</f>
        <v>0.53392307692307694</v>
      </c>
      <c r="AC18" s="12">
        <f t="shared" ref="AC18" si="10">1-AC17</f>
        <v>0.53453846153846163</v>
      </c>
      <c r="AD18" s="12">
        <f t="shared" ref="AD18" si="11">1-AD17</f>
        <v>0.5351538461538462</v>
      </c>
      <c r="AE18" s="12">
        <f t="shared" ref="AE18" si="12">1-AE17</f>
        <v>0.53576923076923078</v>
      </c>
      <c r="AF18" s="12">
        <f t="shared" ref="AF18" si="13">1-AF17</f>
        <v>0.53638461538461546</v>
      </c>
      <c r="AG18" s="12">
        <f t="shared" ref="AG18" si="14">1-AG17</f>
        <v>0.53700000000000003</v>
      </c>
    </row>
    <row r="19" spans="1:33" ht="15.75" thickBot="1" x14ac:dyDescent="0.3">
      <c r="A19" s="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21"/>
    </row>
    <row r="20" spans="1:33" x14ac:dyDescent="0.25">
      <c r="A20" s="110" t="s">
        <v>18</v>
      </c>
      <c r="B20" s="61" t="s">
        <v>19</v>
      </c>
      <c r="C20" s="56"/>
      <c r="D20" s="91">
        <f>D45+D71</f>
        <v>797.98518799999999</v>
      </c>
      <c r="E20" s="91">
        <f t="shared" si="0"/>
        <v>914.58613963708763</v>
      </c>
      <c r="F20" s="91">
        <f t="shared" si="0"/>
        <v>1049.6287128998592</v>
      </c>
      <c r="G20" s="91">
        <f t="shared" si="0"/>
        <v>1206.2408471802471</v>
      </c>
      <c r="H20" s="91">
        <f t="shared" si="0"/>
        <v>1388.1155466885793</v>
      </c>
      <c r="I20" s="91">
        <f t="shared" si="0"/>
        <v>1599.6190192920651</v>
      </c>
      <c r="J20" s="91">
        <f t="shared" si="0"/>
        <v>1845.9206427454758</v>
      </c>
      <c r="K20" s="91">
        <f t="shared" si="0"/>
        <v>2133.1493880672169</v>
      </c>
      <c r="L20" s="91">
        <f t="shared" si="0"/>
        <v>2468.5823584872905</v>
      </c>
      <c r="M20" s="91">
        <f t="shared" si="0"/>
        <v>2860.87236982988</v>
      </c>
      <c r="N20" s="91">
        <f t="shared" si="0"/>
        <v>3320.3230621456446</v>
      </c>
      <c r="O20" s="91">
        <f t="shared" si="0"/>
        <v>3859.2219651574801</v>
      </c>
      <c r="P20" s="91">
        <f t="shared" si="0"/>
        <v>4492.2443322280305</v>
      </c>
      <c r="Q20" s="91">
        <f t="shared" si="0"/>
        <v>5236.943522835355</v>
      </c>
      <c r="R20" s="78">
        <f>RATE(12,,-E20,Q20)</f>
        <v>0.15652344067525081</v>
      </c>
      <c r="S20" s="61" t="s">
        <v>19</v>
      </c>
      <c r="T20" s="12">
        <v>0.40099999999999997</v>
      </c>
      <c r="U20" s="12">
        <v>0.40265090533119946</v>
      </c>
      <c r="V20" s="12">
        <v>0.40430860739160734</v>
      </c>
      <c r="W20" s="12">
        <v>0.40597313416316017</v>
      </c>
      <c r="X20" s="12">
        <v>0.40764451374299493</v>
      </c>
      <c r="Y20" s="12">
        <v>0.40932277434392395</v>
      </c>
      <c r="Z20" s="12">
        <v>0.41100794429491083</v>
      </c>
      <c r="AA20" s="12">
        <v>0.4127000520415488</v>
      </c>
      <c r="AB20" s="12">
        <v>0.41439912614654062</v>
      </c>
      <c r="AC20" s="12">
        <v>0.41610519529018092</v>
      </c>
      <c r="AD20" s="12">
        <v>0.41781828827084017</v>
      </c>
      <c r="AE20" s="12">
        <v>0.4195384340054511</v>
      </c>
      <c r="AF20" s="12">
        <v>0.4212656615299965</v>
      </c>
      <c r="AG20" s="12">
        <v>0.42299999999999938</v>
      </c>
    </row>
    <row r="21" spans="1:33" ht="15.75" thickBot="1" x14ac:dyDescent="0.3">
      <c r="A21" s="111"/>
      <c r="B21" s="63" t="s">
        <v>20</v>
      </c>
      <c r="C21" s="51"/>
      <c r="D21" s="92">
        <f>D46+D72</f>
        <v>1192.0028119999999</v>
      </c>
      <c r="E21" s="92">
        <f t="shared" si="0"/>
        <v>1356.8259633229122</v>
      </c>
      <c r="F21" s="92">
        <f t="shared" si="0"/>
        <v>1546.4790466443355</v>
      </c>
      <c r="G21" s="92">
        <f t="shared" si="0"/>
        <v>1764.9923347067597</v>
      </c>
      <c r="H21" s="92">
        <f t="shared" si="0"/>
        <v>2017.0953659835725</v>
      </c>
      <c r="I21" s="92">
        <f t="shared" si="0"/>
        <v>2308.345842560509</v>
      </c>
      <c r="J21" s="92">
        <f t="shared" si="0"/>
        <v>2645.2836475077825</v>
      </c>
      <c r="K21" s="92">
        <f t="shared" si="0"/>
        <v>3035.6151359858618</v>
      </c>
      <c r="L21" s="92">
        <f t="shared" si="0"/>
        <v>3488.4339640190124</v>
      </c>
      <c r="M21" s="92">
        <f t="shared" si="0"/>
        <v>4014.4860784941843</v>
      </c>
      <c r="N21" s="92">
        <f t="shared" si="0"/>
        <v>4626.4881602327523</v>
      </c>
      <c r="O21" s="92">
        <f t="shared" si="0"/>
        <v>5339.5108620412248</v>
      </c>
      <c r="P21" s="92">
        <f t="shared" si="0"/>
        <v>6171.4407065967089</v>
      </c>
      <c r="Q21" s="92">
        <f t="shared" si="0"/>
        <v>7143.5376186194044</v>
      </c>
      <c r="R21" s="79">
        <f>RATE(12,,-E21,Q21)</f>
        <v>0.14845971506880218</v>
      </c>
      <c r="S21" s="63" t="s">
        <v>20</v>
      </c>
      <c r="T21" s="12">
        <f>1-T20</f>
        <v>0.59899999999999998</v>
      </c>
      <c r="U21" s="12">
        <f t="shared" ref="U21" si="15">1-U20</f>
        <v>0.59734909466880048</v>
      </c>
      <c r="V21" s="12">
        <f t="shared" ref="V21" si="16">1-V20</f>
        <v>0.59569139260839266</v>
      </c>
      <c r="W21" s="12">
        <f t="shared" ref="W21" si="17">1-W20</f>
        <v>0.59402686583683983</v>
      </c>
      <c r="X21" s="12">
        <f t="shared" ref="X21" si="18">1-X20</f>
        <v>0.59235548625700507</v>
      </c>
      <c r="Y21" s="12">
        <f t="shared" ref="Y21" si="19">1-Y20</f>
        <v>0.59067722565607605</v>
      </c>
      <c r="Z21" s="12">
        <f t="shared" ref="Z21" si="20">1-Z20</f>
        <v>0.58899205570508917</v>
      </c>
      <c r="AA21" s="12">
        <f t="shared" ref="AA21" si="21">1-AA20</f>
        <v>0.5872999479584512</v>
      </c>
      <c r="AB21" s="12">
        <f t="shared" ref="AB21" si="22">1-AB20</f>
        <v>0.58560087385345938</v>
      </c>
      <c r="AC21" s="12">
        <f t="shared" ref="AC21" si="23">1-AC20</f>
        <v>0.58389480470981914</v>
      </c>
      <c r="AD21" s="12">
        <f t="shared" ref="AD21" si="24">1-AD20</f>
        <v>0.58218171172915989</v>
      </c>
      <c r="AE21" s="12">
        <f t="shared" ref="AE21" si="25">1-AE20</f>
        <v>0.5804615659945489</v>
      </c>
      <c r="AF21" s="12">
        <f t="shared" ref="AF21" si="26">1-AF20</f>
        <v>0.57873433847000344</v>
      </c>
      <c r="AG21" s="12">
        <f t="shared" ref="AG21" si="27">1-AG20</f>
        <v>0.57700000000000062</v>
      </c>
    </row>
    <row r="22" spans="1:33" ht="15.75" thickBot="1" x14ac:dyDescent="0.3">
      <c r="A22" s="2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21"/>
    </row>
    <row r="23" spans="1:33" x14ac:dyDescent="0.25">
      <c r="A23" s="110" t="s">
        <v>14</v>
      </c>
      <c r="B23" s="66" t="s">
        <v>21</v>
      </c>
      <c r="C23" s="57"/>
      <c r="D23" s="93">
        <f t="shared" ref="D23:D28" si="28">D48+D74</f>
        <v>497.49700000000001</v>
      </c>
      <c r="E23" s="93">
        <f t="shared" si="0"/>
        <v>571.38719622325129</v>
      </c>
      <c r="F23" s="93">
        <f t="shared" si="0"/>
        <v>657.13083181267393</v>
      </c>
      <c r="G23" s="93">
        <f t="shared" si="0"/>
        <v>756.76393309856519</v>
      </c>
      <c r="H23" s="93">
        <f t="shared" si="0"/>
        <v>872.69455413930757</v>
      </c>
      <c r="I23" s="93">
        <f t="shared" si="0"/>
        <v>1007.7747194621693</v>
      </c>
      <c r="J23" s="93">
        <f t="shared" si="0"/>
        <v>1165.387028593974</v>
      </c>
      <c r="K23" s="93">
        <f t="shared" si="0"/>
        <v>1349.5490602260415</v>
      </c>
      <c r="L23" s="93">
        <f t="shared" si="0"/>
        <v>1565.0394169176773</v>
      </c>
      <c r="M23" s="93">
        <f t="shared" si="0"/>
        <v>1817.5501187815175</v>
      </c>
      <c r="N23" s="93">
        <f t="shared" si="0"/>
        <v>2113.8711266958094</v>
      </c>
      <c r="O23" s="93">
        <f t="shared" si="0"/>
        <v>2462.1141024908366</v>
      </c>
      <c r="P23" s="93">
        <f t="shared" si="0"/>
        <v>2871.9841583203961</v>
      </c>
      <c r="Q23" s="93">
        <f t="shared" si="0"/>
        <v>3355.1103893342415</v>
      </c>
      <c r="R23" s="80">
        <f t="shared" ref="R23:R28" si="29">RATE(12,,-E23,Q23)</f>
        <v>0.15894998034780131</v>
      </c>
      <c r="S23" s="66" t="s">
        <v>21</v>
      </c>
      <c r="T23" s="12">
        <v>0.25</v>
      </c>
      <c r="U23" s="12">
        <v>0.25155593539307364</v>
      </c>
      <c r="V23" s="12">
        <v>0.25312155452593693</v>
      </c>
      <c r="W23" s="12">
        <v>0.25469691766768382</v>
      </c>
      <c r="X23" s="12">
        <v>0.25628208546250747</v>
      </c>
      <c r="Y23" s="12">
        <v>0.2578771189320348</v>
      </c>
      <c r="Z23" s="12">
        <v>0.25948207947767565</v>
      </c>
      <c r="AA23" s="12">
        <v>0.2610970288829863</v>
      </c>
      <c r="AB23" s="12">
        <v>0.26272202931604799</v>
      </c>
      <c r="AC23" s="12">
        <v>0.26435714333185978</v>
      </c>
      <c r="AD23" s="12">
        <v>0.26600243387474731</v>
      </c>
      <c r="AE23" s="12">
        <v>0.26765796428078514</v>
      </c>
      <c r="AF23" s="12">
        <v>0.26932379828023517</v>
      </c>
      <c r="AG23" s="12">
        <v>0.27100000000000013</v>
      </c>
    </row>
    <row r="24" spans="1:33" x14ac:dyDescent="0.25">
      <c r="A24" s="112"/>
      <c r="B24" s="67" t="s">
        <v>22</v>
      </c>
      <c r="C24" s="48"/>
      <c r="D24" s="94">
        <f t="shared" si="28"/>
        <v>756.19544000000008</v>
      </c>
      <c r="E24" s="94">
        <f t="shared" si="0"/>
        <v>865.20333287596281</v>
      </c>
      <c r="F24" s="94">
        <f t="shared" si="0"/>
        <v>991.25094647874187</v>
      </c>
      <c r="G24" s="94">
        <f t="shared" si="0"/>
        <v>1137.1985252801269</v>
      </c>
      <c r="H24" s="94">
        <f t="shared" si="0"/>
        <v>1306.4181921098841</v>
      </c>
      <c r="I24" s="94">
        <f t="shared" si="0"/>
        <v>1502.8910723297081</v>
      </c>
      <c r="J24" s="94">
        <f t="shared" si="0"/>
        <v>1731.3238677671648</v>
      </c>
      <c r="K24" s="94">
        <f t="shared" si="0"/>
        <v>1997.2889756427012</v>
      </c>
      <c r="L24" s="94">
        <f t="shared" si="0"/>
        <v>2307.3931513954294</v>
      </c>
      <c r="M24" s="94">
        <f t="shared" si="0"/>
        <v>2669.4808263815862</v>
      </c>
      <c r="N24" s="94">
        <f t="shared" si="0"/>
        <v>3092.8795619833613</v>
      </c>
      <c r="O24" s="94">
        <f t="shared" si="0"/>
        <v>3588.6968133537803</v>
      </c>
      <c r="P24" s="94">
        <f t="shared" si="0"/>
        <v>4170.1792672457759</v>
      </c>
      <c r="Q24" s="94">
        <f t="shared" si="0"/>
        <v>4853.1486074502664</v>
      </c>
      <c r="R24" s="81">
        <f t="shared" si="29"/>
        <v>0.15453946790462858</v>
      </c>
      <c r="S24" s="67" t="s">
        <v>22</v>
      </c>
      <c r="T24" s="12">
        <v>0.38</v>
      </c>
      <c r="U24" s="12">
        <v>0.38090988938047371</v>
      </c>
      <c r="V24" s="12">
        <v>0.38182195744169661</v>
      </c>
      <c r="W24" s="12">
        <v>0.38273620940040159</v>
      </c>
      <c r="X24" s="12">
        <v>0.38365265048581265</v>
      </c>
      <c r="Y24" s="12">
        <v>0.38457128593967477</v>
      </c>
      <c r="Z24" s="12">
        <v>0.38549212101628438</v>
      </c>
      <c r="AA24" s="12">
        <v>0.38641516098251855</v>
      </c>
      <c r="AB24" s="12">
        <v>0.38734041111786593</v>
      </c>
      <c r="AC24" s="12">
        <v>0.38826787671445667</v>
      </c>
      <c r="AD24" s="12">
        <v>0.38919756307709236</v>
      </c>
      <c r="AE24" s="12">
        <v>0.39012947552327681</v>
      </c>
      <c r="AF24" s="12">
        <v>0.3910636193832463</v>
      </c>
      <c r="AG24" s="12">
        <v>0.39200000000000002</v>
      </c>
    </row>
    <row r="25" spans="1:33" x14ac:dyDescent="0.25">
      <c r="A25" s="112"/>
      <c r="B25" s="68" t="s">
        <v>23</v>
      </c>
      <c r="C25" s="48"/>
      <c r="D25" s="95">
        <f t="shared" si="28"/>
        <v>264.6684039999999</v>
      </c>
      <c r="E25" s="95">
        <f t="shared" si="0"/>
        <v>302.28983118557926</v>
      </c>
      <c r="F25" s="95">
        <f t="shared" si="0"/>
        <v>345.72141299210722</v>
      </c>
      <c r="G25" s="95">
        <f t="shared" si="0"/>
        <v>395.92804195848515</v>
      </c>
      <c r="H25" s="95">
        <f t="shared" si="0"/>
        <v>454.04563373290313</v>
      </c>
      <c r="I25" s="95">
        <f t="shared" si="0"/>
        <v>521.41329292849503</v>
      </c>
      <c r="J25" s="95">
        <f t="shared" si="0"/>
        <v>599.61186840655228</v>
      </c>
      <c r="K25" s="95">
        <f t="shared" si="0"/>
        <v>690.51023321736329</v>
      </c>
      <c r="L25" s="95">
        <f t="shared" si="0"/>
        <v>796.32091699848172</v>
      </c>
      <c r="M25" s="95">
        <f t="shared" si="0"/>
        <v>919.6670782235891</v>
      </c>
      <c r="N25" s="95">
        <f t="shared" si="0"/>
        <v>1063.6632463244414</v>
      </c>
      <c r="O25" s="95">
        <f t="shared" si="0"/>
        <v>1232.012809366473</v>
      </c>
      <c r="P25" s="95">
        <f t="shared" si="0"/>
        <v>1429.1258966463524</v>
      </c>
      <c r="Q25" s="95">
        <f t="shared" si="0"/>
        <v>1660.2621386087351</v>
      </c>
      <c r="R25" s="81">
        <f t="shared" si="29"/>
        <v>0.15251369273936755</v>
      </c>
      <c r="S25" s="68" t="s">
        <v>23</v>
      </c>
      <c r="T25" s="74">
        <v>0.34999999999999987</v>
      </c>
      <c r="U25" s="74">
        <v>0.34938588387166564</v>
      </c>
      <c r="V25" s="74">
        <v>0.34877284528224306</v>
      </c>
      <c r="W25" s="74">
        <v>0.34816088234106346</v>
      </c>
      <c r="X25" s="74">
        <v>0.34754999316077562</v>
      </c>
      <c r="Y25" s="74">
        <v>0.34694017585733994</v>
      </c>
      <c r="Z25" s="74">
        <v>0.34633142855002247</v>
      </c>
      <c r="AA25" s="74">
        <v>0.34572374936138933</v>
      </c>
      <c r="AB25" s="74">
        <v>0.34511713641730069</v>
      </c>
      <c r="AC25" s="74">
        <v>0.34451158784690528</v>
      </c>
      <c r="AD25" s="74">
        <v>0.34390710178263434</v>
      </c>
      <c r="AE25" s="74">
        <v>0.34330367636019604</v>
      </c>
      <c r="AF25" s="74">
        <v>0.34270130971856966</v>
      </c>
      <c r="AG25" s="74">
        <v>0.34209999999999979</v>
      </c>
    </row>
    <row r="26" spans="1:33" x14ac:dyDescent="0.25">
      <c r="A26" s="112"/>
      <c r="B26" s="68" t="s">
        <v>24</v>
      </c>
      <c r="C26" s="48"/>
      <c r="D26" s="95">
        <f t="shared" si="28"/>
        <v>211.73472320000005</v>
      </c>
      <c r="E26" s="95">
        <f t="shared" si="0"/>
        <v>243.10413019018694</v>
      </c>
      <c r="F26" s="95">
        <f t="shared" si="0"/>
        <v>279.49490204300866</v>
      </c>
      <c r="G26" s="95">
        <f t="shared" si="0"/>
        <v>321.76787758216449</v>
      </c>
      <c r="H26" s="95">
        <f t="shared" si="0"/>
        <v>370.94091565152894</v>
      </c>
      <c r="I26" s="95">
        <f t="shared" si="0"/>
        <v>428.2192111561202</v>
      </c>
      <c r="J26" s="95">
        <f t="shared" si="0"/>
        <v>495.03178033950894</v>
      </c>
      <c r="K26" s="95">
        <f t="shared" si="0"/>
        <v>573.07543379498156</v>
      </c>
      <c r="L26" s="95">
        <f t="shared" si="0"/>
        <v>664.36785074807824</v>
      </c>
      <c r="M26" s="95">
        <f t="shared" si="0"/>
        <v>771.31173212880014</v>
      </c>
      <c r="N26" s="95">
        <f t="shared" si="0"/>
        <v>896.77245965431075</v>
      </c>
      <c r="O26" s="95">
        <f t="shared" si="0"/>
        <v>1044.1722445953749</v>
      </c>
      <c r="P26" s="95">
        <f t="shared" si="0"/>
        <v>1217.6044394917565</v>
      </c>
      <c r="Q26" s="95">
        <f t="shared" si="0"/>
        <v>1421.9725419829265</v>
      </c>
      <c r="R26" s="81">
        <f t="shared" si="29"/>
        <v>0.15857700913136308</v>
      </c>
      <c r="S26" s="68" t="s">
        <v>24</v>
      </c>
      <c r="T26" s="74">
        <v>0.28000000000000003</v>
      </c>
      <c r="U26" s="74">
        <v>0.28097918830490543</v>
      </c>
      <c r="V26" s="74">
        <v>0.28196180093029821</v>
      </c>
      <c r="W26" s="74">
        <v>0.28294784985137333</v>
      </c>
      <c r="X26" s="74">
        <v>0.28393734708520407</v>
      </c>
      <c r="Y26" s="74">
        <v>0.28493030469088876</v>
      </c>
      <c r="Z26" s="74">
        <v>0.28592673476969749</v>
      </c>
      <c r="AA26" s="74">
        <v>0.28692664946521995</v>
      </c>
      <c r="AB26" s="74">
        <v>0.28793006096351298</v>
      </c>
      <c r="AC26" s="74">
        <v>0.28893698149324931</v>
      </c>
      <c r="AD26" s="74">
        <v>0.28994742332586665</v>
      </c>
      <c r="AE26" s="74">
        <v>0.29096139877571725</v>
      </c>
      <c r="AF26" s="74">
        <v>0.29197892020021765</v>
      </c>
      <c r="AG26" s="74">
        <v>0.29299999999999965</v>
      </c>
    </row>
    <row r="27" spans="1:33" x14ac:dyDescent="0.25">
      <c r="A27" s="112"/>
      <c r="B27" s="68" t="s">
        <v>25</v>
      </c>
      <c r="C27" s="48"/>
      <c r="D27" s="95">
        <f t="shared" si="28"/>
        <v>279.7923128000001</v>
      </c>
      <c r="E27" s="95">
        <f t="shared" si="0"/>
        <v>319.80937150019673</v>
      </c>
      <c r="F27" s="95">
        <f t="shared" si="0"/>
        <v>366.03463144362593</v>
      </c>
      <c r="G27" s="95">
        <f t="shared" si="0"/>
        <v>419.50260573947725</v>
      </c>
      <c r="H27" s="95">
        <f t="shared" si="0"/>
        <v>481.43164272545204</v>
      </c>
      <c r="I27" s="95">
        <f t="shared" si="0"/>
        <v>553.25856824509265</v>
      </c>
      <c r="J27" s="95">
        <f t="shared" si="0"/>
        <v>636.68021902110343</v>
      </c>
      <c r="K27" s="95">
        <f t="shared" si="0"/>
        <v>733.70330863035656</v>
      </c>
      <c r="L27" s="95">
        <f t="shared" si="0"/>
        <v>846.70438364886945</v>
      </c>
      <c r="M27" s="95">
        <f t="shared" si="0"/>
        <v>978.50201602919674</v>
      </c>
      <c r="N27" s="95">
        <f t="shared" si="0"/>
        <v>1132.4438560046092</v>
      </c>
      <c r="O27" s="95">
        <f t="shared" si="0"/>
        <v>1312.5117593919319</v>
      </c>
      <c r="P27" s="95">
        <f t="shared" si="0"/>
        <v>1523.448931107667</v>
      </c>
      <c r="Q27" s="95">
        <f t="shared" si="0"/>
        <v>1770.913926858605</v>
      </c>
      <c r="R27" s="81">
        <f t="shared" si="29"/>
        <v>0.15329972627768074</v>
      </c>
      <c r="S27" s="68" t="s">
        <v>25</v>
      </c>
      <c r="T27" s="74">
        <f>1-SUM(T25:T26)</f>
        <v>0.37000000000000011</v>
      </c>
      <c r="U27" s="74">
        <f t="shared" ref="U27:AG27" si="30">1-SUM(U25:U26)</f>
        <v>0.36963492782342899</v>
      </c>
      <c r="V27" s="74">
        <f t="shared" si="30"/>
        <v>0.36926535378745873</v>
      </c>
      <c r="W27" s="74">
        <f t="shared" si="30"/>
        <v>0.36889126780756321</v>
      </c>
      <c r="X27" s="74">
        <f t="shared" si="30"/>
        <v>0.36851265975402026</v>
      </c>
      <c r="Y27" s="74">
        <f t="shared" si="30"/>
        <v>0.3681295194517713</v>
      </c>
      <c r="Z27" s="74">
        <f t="shared" si="30"/>
        <v>0.36774183668028004</v>
      </c>
      <c r="AA27" s="74">
        <f t="shared" si="30"/>
        <v>0.36734960117339077</v>
      </c>
      <c r="AB27" s="74">
        <f t="shared" si="30"/>
        <v>0.36695280261918639</v>
      </c>
      <c r="AC27" s="74">
        <f t="shared" si="30"/>
        <v>0.36655143065984541</v>
      </c>
      <c r="AD27" s="74">
        <f t="shared" si="30"/>
        <v>0.36614547489149896</v>
      </c>
      <c r="AE27" s="74">
        <f t="shared" si="30"/>
        <v>0.36573492486408665</v>
      </c>
      <c r="AF27" s="74">
        <f t="shared" si="30"/>
        <v>0.36531977008121275</v>
      </c>
      <c r="AG27" s="74">
        <f t="shared" si="30"/>
        <v>0.36490000000000056</v>
      </c>
    </row>
    <row r="28" spans="1:33" ht="15.75" thickBot="1" x14ac:dyDescent="0.3">
      <c r="A28" s="111"/>
      <c r="B28" s="69" t="s">
        <v>26</v>
      </c>
      <c r="C28" s="58"/>
      <c r="D28" s="96">
        <f t="shared" si="28"/>
        <v>736.29556000000002</v>
      </c>
      <c r="E28" s="96">
        <f t="shared" si="0"/>
        <v>834.82157386078609</v>
      </c>
      <c r="F28" s="96">
        <f t="shared" si="0"/>
        <v>947.72598125277898</v>
      </c>
      <c r="G28" s="96">
        <f t="shared" si="0"/>
        <v>1077.2707235083146</v>
      </c>
      <c r="H28" s="96">
        <f t="shared" si="0"/>
        <v>1226.0981664229603</v>
      </c>
      <c r="I28" s="96">
        <f t="shared" si="0"/>
        <v>1397.299070060697</v>
      </c>
      <c r="J28" s="96">
        <f t="shared" si="0"/>
        <v>1594.4933938921199</v>
      </c>
      <c r="K28" s="96">
        <f t="shared" si="0"/>
        <v>1821.9264881843358</v>
      </c>
      <c r="L28" s="96">
        <f t="shared" si="0"/>
        <v>2084.5837541931965</v>
      </c>
      <c r="M28" s="96">
        <f t="shared" si="0"/>
        <v>2388.327503160961</v>
      </c>
      <c r="N28" s="96">
        <f t="shared" si="0"/>
        <v>2740.0605336992262</v>
      </c>
      <c r="O28" s="96">
        <f t="shared" si="0"/>
        <v>3147.921911354088</v>
      </c>
      <c r="P28" s="96">
        <f t="shared" si="0"/>
        <v>3621.5216132585683</v>
      </c>
      <c r="Q28" s="96">
        <f t="shared" si="0"/>
        <v>4172.2221446702524</v>
      </c>
      <c r="R28" s="82">
        <f t="shared" si="29"/>
        <v>0.14348677640249552</v>
      </c>
      <c r="S28" s="69" t="s">
        <v>26</v>
      </c>
      <c r="T28" s="12">
        <f>1-SUM(T23+T24)</f>
        <v>0.37</v>
      </c>
      <c r="U28" s="12">
        <f t="shared" ref="U28:AG28" si="31">1-SUM(U23+U24)</f>
        <v>0.36753417522645271</v>
      </c>
      <c r="V28" s="12">
        <f t="shared" si="31"/>
        <v>0.36505648803236646</v>
      </c>
      <c r="W28" s="12">
        <f t="shared" si="31"/>
        <v>0.36256687293191459</v>
      </c>
      <c r="X28" s="12">
        <f t="shared" si="31"/>
        <v>0.36006526405167993</v>
      </c>
      <c r="Y28" s="12">
        <f t="shared" si="31"/>
        <v>0.35755159512829038</v>
      </c>
      <c r="Z28" s="12">
        <f t="shared" si="31"/>
        <v>0.35502579950603996</v>
      </c>
      <c r="AA28" s="12">
        <f t="shared" si="31"/>
        <v>0.35248781013449515</v>
      </c>
      <c r="AB28" s="12">
        <f t="shared" si="31"/>
        <v>0.34993755956608608</v>
      </c>
      <c r="AC28" s="12">
        <f t="shared" si="31"/>
        <v>0.3473749799536836</v>
      </c>
      <c r="AD28" s="12">
        <f t="shared" si="31"/>
        <v>0.34480000304816039</v>
      </c>
      <c r="AE28" s="12">
        <f t="shared" si="31"/>
        <v>0.34221256019593804</v>
      </c>
      <c r="AF28" s="12">
        <f t="shared" si="31"/>
        <v>0.33961258233651859</v>
      </c>
      <c r="AG28" s="12">
        <f t="shared" si="31"/>
        <v>0.33699999999999986</v>
      </c>
    </row>
    <row r="29" spans="1:33" ht="15.75" thickBot="1" x14ac:dyDescent="0.3">
      <c r="A29" s="2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21"/>
    </row>
    <row r="30" spans="1:33" x14ac:dyDescent="0.25">
      <c r="A30" s="113" t="s">
        <v>27</v>
      </c>
      <c r="B30" s="61" t="s">
        <v>28</v>
      </c>
      <c r="C30" s="56"/>
      <c r="D30" s="91">
        <f>D55+D81</f>
        <v>797.98518799999999</v>
      </c>
      <c r="E30" s="91">
        <f t="shared" si="0"/>
        <v>914.58613963708763</v>
      </c>
      <c r="F30" s="91">
        <f t="shared" si="0"/>
        <v>1049.6287128998592</v>
      </c>
      <c r="G30" s="91">
        <f t="shared" si="0"/>
        <v>1206.2408471802471</v>
      </c>
      <c r="H30" s="91">
        <f t="shared" si="0"/>
        <v>1388.1155466885793</v>
      </c>
      <c r="I30" s="91">
        <f t="shared" si="0"/>
        <v>1599.6190192920651</v>
      </c>
      <c r="J30" s="91">
        <f t="shared" si="0"/>
        <v>1845.9206427454758</v>
      </c>
      <c r="K30" s="91">
        <f t="shared" si="0"/>
        <v>2133.1493880672169</v>
      </c>
      <c r="L30" s="91">
        <f t="shared" si="0"/>
        <v>2468.5823584872905</v>
      </c>
      <c r="M30" s="91">
        <f t="shared" si="0"/>
        <v>2860.87236982988</v>
      </c>
      <c r="N30" s="91">
        <f t="shared" si="0"/>
        <v>3320.3230621456446</v>
      </c>
      <c r="O30" s="91">
        <f t="shared" si="0"/>
        <v>3859.2219651574801</v>
      </c>
      <c r="P30" s="91">
        <f t="shared" si="0"/>
        <v>4492.2443322280305</v>
      </c>
      <c r="Q30" s="91">
        <f t="shared" si="0"/>
        <v>5236.943522835355</v>
      </c>
      <c r="R30" s="78">
        <f>RATE(12,,-E30,Q30)</f>
        <v>0.15652344067525081</v>
      </c>
      <c r="S30" s="61" t="s">
        <v>28</v>
      </c>
      <c r="T30" s="12">
        <v>0.40099999999999997</v>
      </c>
      <c r="U30" s="12">
        <v>0.40265090533119946</v>
      </c>
      <c r="V30" s="12">
        <v>0.40430860739160734</v>
      </c>
      <c r="W30" s="12">
        <v>0.40597313416316017</v>
      </c>
      <c r="X30" s="12">
        <v>0.40764451374299493</v>
      </c>
      <c r="Y30" s="12">
        <v>0.40932277434392395</v>
      </c>
      <c r="Z30" s="12">
        <v>0.41100794429491083</v>
      </c>
      <c r="AA30" s="12">
        <v>0.4127000520415488</v>
      </c>
      <c r="AB30" s="12">
        <v>0.41439912614654062</v>
      </c>
      <c r="AC30" s="12">
        <v>0.41610519529018092</v>
      </c>
      <c r="AD30" s="12">
        <v>0.41781828827084017</v>
      </c>
      <c r="AE30" s="12">
        <v>0.4195384340054511</v>
      </c>
      <c r="AF30" s="12">
        <v>0.4212656615299965</v>
      </c>
      <c r="AG30" s="12">
        <v>0.42299999999999938</v>
      </c>
    </row>
    <row r="31" spans="1:33" x14ac:dyDescent="0.25">
      <c r="A31" s="114"/>
      <c r="B31" s="62" t="s">
        <v>29</v>
      </c>
      <c r="C31" s="47"/>
      <c r="D31" s="97">
        <f>D56+D82</f>
        <v>857.68482800000015</v>
      </c>
      <c r="E31" s="97">
        <f t="shared" si="0"/>
        <v>980.8783044892125</v>
      </c>
      <c r="F31" s="97">
        <f t="shared" si="0"/>
        <v>1123.2691501591717</v>
      </c>
      <c r="G31" s="97">
        <f t="shared" si="0"/>
        <v>1288.0709204966263</v>
      </c>
      <c r="H31" s="97">
        <f t="shared" si="0"/>
        <v>1479.0708526805795</v>
      </c>
      <c r="I31" s="97">
        <f t="shared" si="0"/>
        <v>1700.7384699645465</v>
      </c>
      <c r="J31" s="97">
        <f t="shared" si="0"/>
        <v>1958.3558894248845</v>
      </c>
      <c r="K31" s="97">
        <f t="shared" si="0"/>
        <v>2258.1743939536132</v>
      </c>
      <c r="L31" s="97">
        <f t="shared" si="0"/>
        <v>2607.602833972066</v>
      </c>
      <c r="M31" s="97">
        <f t="shared" si="0"/>
        <v>3015.4346602138808</v>
      </c>
      <c r="N31" s="97">
        <f t="shared" si="0"/>
        <v>3492.1219115827048</v>
      </c>
      <c r="O31" s="97">
        <f t="shared" si="0"/>
        <v>4050.106360902249</v>
      </c>
      <c r="P31" s="97">
        <f t="shared" si="0"/>
        <v>4704.2203431685111</v>
      </c>
      <c r="Q31" s="97">
        <f t="shared" si="0"/>
        <v>5472.1726645230074</v>
      </c>
      <c r="R31" s="83">
        <f>RATE(12,,-E31,Q31)</f>
        <v>0.15401659815834162</v>
      </c>
      <c r="S31" s="62" t="s">
        <v>29</v>
      </c>
      <c r="T31" s="12">
        <v>0.43099999999999999</v>
      </c>
      <c r="U31" s="12">
        <v>0.43183634674261745</v>
      </c>
      <c r="V31" s="12">
        <v>0.43267431639909548</v>
      </c>
      <c r="W31" s="12">
        <v>0.43351391211866536</v>
      </c>
      <c r="X31" s="12">
        <v>0.43435513705666956</v>
      </c>
      <c r="Y31" s="12">
        <v>0.43519799437457324</v>
      </c>
      <c r="Z31" s="12">
        <v>0.43604248723997657</v>
      </c>
      <c r="AA31" s="12">
        <v>0.43688861882662616</v>
      </c>
      <c r="AB31" s="12">
        <v>0.43773639231442729</v>
      </c>
      <c r="AC31" s="12">
        <v>0.43858581088945586</v>
      </c>
      <c r="AD31" s="12">
        <v>0.43943687774397006</v>
      </c>
      <c r="AE31" s="12">
        <v>0.44028959607642287</v>
      </c>
      <c r="AF31" s="12">
        <v>0.44114396909147369</v>
      </c>
      <c r="AG31" s="12">
        <v>0.44200000000000028</v>
      </c>
    </row>
    <row r="32" spans="1:33" ht="15.75" thickBot="1" x14ac:dyDescent="0.3">
      <c r="A32" s="115"/>
      <c r="B32" s="63" t="s">
        <v>30</v>
      </c>
      <c r="C32" s="51"/>
      <c r="D32" s="92">
        <f>D57+D83</f>
        <v>334.31798400000014</v>
      </c>
      <c r="E32" s="92">
        <f t="shared" si="0"/>
        <v>375.94765883369996</v>
      </c>
      <c r="F32" s="92">
        <f t="shared" si="0"/>
        <v>423.20989648516371</v>
      </c>
      <c r="G32" s="92">
        <f t="shared" si="0"/>
        <v>476.92141421013326</v>
      </c>
      <c r="H32" s="92">
        <f t="shared" si="0"/>
        <v>538.024513302993</v>
      </c>
      <c r="I32" s="92">
        <f t="shared" si="0"/>
        <v>607.60737259596237</v>
      </c>
      <c r="J32" s="92">
        <f t="shared" si="0"/>
        <v>686.92775808289798</v>
      </c>
      <c r="K32" s="92">
        <f t="shared" si="0"/>
        <v>777.44074203224829</v>
      </c>
      <c r="L32" s="92">
        <f t="shared" si="0"/>
        <v>880.8311300469461</v>
      </c>
      <c r="M32" s="92">
        <f t="shared" si="0"/>
        <v>999.05141828030355</v>
      </c>
      <c r="N32" s="92">
        <f t="shared" si="0"/>
        <v>1134.3662486500473</v>
      </c>
      <c r="O32" s="92">
        <f t="shared" si="0"/>
        <v>1289.4045011389758</v>
      </c>
      <c r="P32" s="92">
        <f t="shared" si="0"/>
        <v>1467.2203634281987</v>
      </c>
      <c r="Q32" s="92">
        <f t="shared" si="0"/>
        <v>1671.3649540963968</v>
      </c>
      <c r="R32" s="79">
        <f>RATE(12,,-E32,Q32)</f>
        <v>0.13238817495744681</v>
      </c>
      <c r="S32" s="63" t="s">
        <v>30</v>
      </c>
      <c r="T32" s="12">
        <f>1-SUM(T30:T31)</f>
        <v>0.16800000000000004</v>
      </c>
      <c r="U32" s="12">
        <f t="shared" ref="U32:AG32" si="32">1-SUM(U30:U31)</f>
        <v>0.16551274792618309</v>
      </c>
      <c r="V32" s="12">
        <f t="shared" si="32"/>
        <v>0.16301707620929717</v>
      </c>
      <c r="W32" s="12">
        <f t="shared" si="32"/>
        <v>0.16051295371817442</v>
      </c>
      <c r="X32" s="12">
        <f t="shared" si="32"/>
        <v>0.15800034920033545</v>
      </c>
      <c r="Y32" s="12">
        <f t="shared" si="32"/>
        <v>0.15547923128150276</v>
      </c>
      <c r="Z32" s="12">
        <f t="shared" si="32"/>
        <v>0.15294956846511254</v>
      </c>
      <c r="AA32" s="12">
        <f t="shared" si="32"/>
        <v>0.15041132913182498</v>
      </c>
      <c r="AB32" s="12">
        <f t="shared" si="32"/>
        <v>0.14786448153903209</v>
      </c>
      <c r="AC32" s="12">
        <f t="shared" si="32"/>
        <v>0.14530899382036322</v>
      </c>
      <c r="AD32" s="12">
        <f t="shared" si="32"/>
        <v>0.14274483398518978</v>
      </c>
      <c r="AE32" s="12">
        <f t="shared" si="32"/>
        <v>0.14017196991812608</v>
      </c>
      <c r="AF32" s="12">
        <f t="shared" si="32"/>
        <v>0.13759036937852986</v>
      </c>
      <c r="AG32" s="12">
        <f t="shared" si="32"/>
        <v>0.13500000000000034</v>
      </c>
    </row>
    <row r="35" spans="1:33" ht="26.25" x14ac:dyDescent="0.4">
      <c r="A35" s="109" t="s">
        <v>52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70"/>
    </row>
    <row r="36" spans="1:33" ht="24" thickBot="1" x14ac:dyDescent="0.4">
      <c r="A36" s="70"/>
      <c r="B36" s="70"/>
      <c r="C36" s="7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spans="1:33" ht="15.75" x14ac:dyDescent="0.25">
      <c r="A37" s="49"/>
      <c r="B37" s="50"/>
      <c r="C37" s="100"/>
      <c r="D37" s="98">
        <v>2023</v>
      </c>
      <c r="E37" s="72">
        <v>2024</v>
      </c>
      <c r="F37" s="72">
        <v>2025</v>
      </c>
      <c r="G37" s="72">
        <v>2026</v>
      </c>
      <c r="H37" s="72">
        <v>2027</v>
      </c>
      <c r="I37" s="72">
        <v>2028</v>
      </c>
      <c r="J37" s="72">
        <v>2029</v>
      </c>
      <c r="K37" s="72">
        <v>2030</v>
      </c>
      <c r="L37" s="72">
        <v>2031</v>
      </c>
      <c r="M37" s="72">
        <v>2032</v>
      </c>
      <c r="N37" s="72">
        <v>2033</v>
      </c>
      <c r="O37" s="72">
        <v>2034</v>
      </c>
      <c r="P37" s="72">
        <v>2035</v>
      </c>
      <c r="Q37" s="72">
        <v>2036</v>
      </c>
      <c r="R37" s="73" t="s">
        <v>13</v>
      </c>
    </row>
    <row r="38" spans="1:33" ht="16.5" thickBot="1" x14ac:dyDescent="0.3">
      <c r="A38" s="26"/>
      <c r="B38" s="101"/>
      <c r="C38" s="102"/>
      <c r="D38" s="99">
        <f>'Market Analysis'!C12</f>
        <v>1874.568696</v>
      </c>
      <c r="E38" s="99">
        <f>'Market Analysis'!D12</f>
        <v>2140.7574508319999</v>
      </c>
      <c r="F38" s="99">
        <f>'Market Analysis'!E12</f>
        <v>2448.1014215384735</v>
      </c>
      <c r="G38" s="99">
        <f>'Market Analysis'!F12</f>
        <v>2803.4507743611089</v>
      </c>
      <c r="H38" s="99">
        <f>'Market Analysis'!G12</f>
        <v>3214.8731870482557</v>
      </c>
      <c r="I38" s="99">
        <f>'Market Analysis'!H12</f>
        <v>3691.8834770105486</v>
      </c>
      <c r="J38" s="99">
        <f>'Market Analysis'!I12</f>
        <v>4245.71895886537</v>
      </c>
      <c r="K38" s="99">
        <f>'Market Analysis'!J12</f>
        <v>4889.6701080252215</v>
      </c>
      <c r="L38" s="99">
        <f>'Market Analysis'!K12</f>
        <v>5639.478208826069</v>
      </c>
      <c r="M38" s="99">
        <f>'Market Analysis'!L12</f>
        <v>6513.8142495843285</v>
      </c>
      <c r="N38" s="99">
        <f>'Market Analysis'!M12</f>
        <v>7534.8565081566658</v>
      </c>
      <c r="O38" s="99">
        <f>'Market Analysis'!N12</f>
        <v>8728.9881939508614</v>
      </c>
      <c r="P38" s="99">
        <f>'Market Analysis'!O12</f>
        <v>10127.641355845391</v>
      </c>
      <c r="Q38" s="99">
        <f>'Market Analysis'!P12</f>
        <v>11768.319255492344</v>
      </c>
      <c r="R38" s="75">
        <f>RATE(12,,-E38,Q38)</f>
        <v>0.15260079494910261</v>
      </c>
      <c r="T38" s="72">
        <v>2023</v>
      </c>
      <c r="U38" s="72">
        <v>2024</v>
      </c>
      <c r="V38" s="72">
        <v>2025</v>
      </c>
      <c r="W38" s="72">
        <v>2026</v>
      </c>
      <c r="X38" s="72">
        <v>2027</v>
      </c>
      <c r="Y38" s="72">
        <v>2028</v>
      </c>
      <c r="Z38" s="72">
        <v>2029</v>
      </c>
      <c r="AA38" s="72">
        <v>2030</v>
      </c>
      <c r="AB38" s="72">
        <v>2031</v>
      </c>
      <c r="AC38" s="72">
        <v>2032</v>
      </c>
      <c r="AD38" s="72">
        <v>2033</v>
      </c>
      <c r="AE38" s="72">
        <v>2034</v>
      </c>
      <c r="AF38" s="72">
        <v>2035</v>
      </c>
      <c r="AG38" s="72">
        <v>2036</v>
      </c>
    </row>
    <row r="39" spans="1:33" x14ac:dyDescent="0.25">
      <c r="A39" s="110" t="s">
        <v>51</v>
      </c>
      <c r="B39" s="59" t="s">
        <v>34</v>
      </c>
      <c r="C39" s="52"/>
      <c r="D39" s="86">
        <f>D38*T39</f>
        <v>1049.75846976</v>
      </c>
      <c r="E39" s="86">
        <f t="shared" ref="E39" si="33">E38*U39</f>
        <v>1200.7971238118309</v>
      </c>
      <c r="F39" s="86">
        <f t="shared" ref="F39" si="34">F38*V39</f>
        <v>1375.4529166891364</v>
      </c>
      <c r="G39" s="86">
        <f t="shared" ref="G39" si="35">G38*W39</f>
        <v>1577.6962926480087</v>
      </c>
      <c r="H39" s="86">
        <f t="shared" ref="H39" si="36">H38*X39</f>
        <v>1812.2097579259239</v>
      </c>
      <c r="I39" s="86">
        <f t="shared" ref="I39" si="37">I38*Y39</f>
        <v>2084.5232869890019</v>
      </c>
      <c r="J39" s="86">
        <f t="shared" ref="J39" si="38">J38*Z39</f>
        <v>2401.1768996310434</v>
      </c>
      <c r="K39" s="86">
        <f t="shared" ref="K39" si="39">K38*AA39</f>
        <v>2769.9161393602149</v>
      </c>
      <c r="L39" s="86">
        <f t="shared" ref="L39" si="40">L38*AB39</f>
        <v>3199.9274495457917</v>
      </c>
      <c r="M39" s="86">
        <f t="shared" ref="M39" si="41">M38*AC39</f>
        <v>3702.1220020108958</v>
      </c>
      <c r="N39" s="86">
        <f t="shared" ref="N39" si="42">N38*AD39</f>
        <v>4289.4784534102164</v>
      </c>
      <c r="O39" s="86">
        <f t="shared" ref="O39" si="43">O38*AE39</f>
        <v>4977.4574756550555</v>
      </c>
      <c r="P39" s="86">
        <f t="shared" ref="P39" si="44">P38*AF39</f>
        <v>5784.5038378009158</v>
      </c>
      <c r="Q39" s="86">
        <f t="shared" ref="Q39" si="45">Q38*AG39</f>
        <v>6732.6554460671587</v>
      </c>
      <c r="R39" s="84">
        <f>RATE(12,,-E39,Q39)</f>
        <v>0.15449767469284151</v>
      </c>
      <c r="S39" s="59" t="s">
        <v>34</v>
      </c>
      <c r="T39" s="12">
        <v>0.56000000000000005</v>
      </c>
      <c r="U39" s="12">
        <v>0.56092161367703952</v>
      </c>
      <c r="V39" s="12">
        <v>0.56184474408938223</v>
      </c>
      <c r="W39" s="12">
        <v>0.56276939373317769</v>
      </c>
      <c r="X39" s="12">
        <v>0.56369556510868446</v>
      </c>
      <c r="Y39" s="12">
        <v>0.56462326072027491</v>
      </c>
      <c r="Z39" s="12">
        <v>0.56555248307644368</v>
      </c>
      <c r="AA39" s="12">
        <v>0.56648323468981299</v>
      </c>
      <c r="AB39" s="12">
        <v>0.56741551807714108</v>
      </c>
      <c r="AC39" s="12">
        <v>0.56834933575932756</v>
      </c>
      <c r="AD39" s="12">
        <v>0.56928469026142059</v>
      </c>
      <c r="AE39" s="12">
        <v>0.57022158411262425</v>
      </c>
      <c r="AF39" s="12">
        <v>0.57116001984630527</v>
      </c>
      <c r="AG39" s="12">
        <v>0.57209999999999905</v>
      </c>
    </row>
    <row r="40" spans="1:33" ht="15.75" thickBot="1" x14ac:dyDescent="0.3">
      <c r="A40" s="111"/>
      <c r="B40" s="60" t="s">
        <v>35</v>
      </c>
      <c r="C40" s="53"/>
      <c r="D40" s="87">
        <f>D38*T40</f>
        <v>824.81022623999991</v>
      </c>
      <c r="E40" s="87">
        <f t="shared" ref="E40" si="46">E38*U40</f>
        <v>939.96032702016896</v>
      </c>
      <c r="F40" s="87">
        <f t="shared" ref="F40" si="47">F38*V40</f>
        <v>1072.6485048493371</v>
      </c>
      <c r="G40" s="87">
        <f t="shared" ref="G40" si="48">G38*W40</f>
        <v>1225.7544817131002</v>
      </c>
      <c r="H40" s="87">
        <f t="shared" ref="H40" si="49">H38*X40</f>
        <v>1402.6634291223318</v>
      </c>
      <c r="I40" s="87">
        <f t="shared" ref="I40" si="50">I38*Y40</f>
        <v>1607.3601900215465</v>
      </c>
      <c r="J40" s="87">
        <f t="shared" ref="J40" si="51">J38*Z40</f>
        <v>1844.5420592343269</v>
      </c>
      <c r="K40" s="87">
        <f t="shared" ref="K40" si="52">K38*AA40</f>
        <v>2119.7539686650066</v>
      </c>
      <c r="L40" s="87">
        <f t="shared" ref="L40" si="53">L38*AB40</f>
        <v>2439.5507592802774</v>
      </c>
      <c r="M40" s="87">
        <f t="shared" ref="M40" si="54">M38*AC40</f>
        <v>2811.6922475734327</v>
      </c>
      <c r="N40" s="87">
        <f t="shared" ref="N40" si="55">N38*AD40</f>
        <v>3245.3780547464494</v>
      </c>
      <c r="O40" s="87">
        <f t="shared" ref="O40" si="56">O38*AE40</f>
        <v>3751.5307182958063</v>
      </c>
      <c r="P40" s="87">
        <f t="shared" ref="P40" si="57">P38*AF40</f>
        <v>4343.1375180444757</v>
      </c>
      <c r="Q40" s="87">
        <f t="shared" ref="Q40" si="58">Q38*AG40</f>
        <v>5035.6638094251857</v>
      </c>
      <c r="R40" s="85">
        <f>RATE(12,,-E40,Q40)</f>
        <v>0.15012647416911523</v>
      </c>
      <c r="S40" s="60" t="s">
        <v>35</v>
      </c>
      <c r="T40" s="12">
        <f>1-T39</f>
        <v>0.43999999999999995</v>
      </c>
      <c r="U40" s="12">
        <f t="shared" ref="U40" si="59">1-U39</f>
        <v>0.43907838632296048</v>
      </c>
      <c r="V40" s="12">
        <f t="shared" ref="V40" si="60">1-V39</f>
        <v>0.43815525591061777</v>
      </c>
      <c r="W40" s="12">
        <f t="shared" ref="W40" si="61">1-W39</f>
        <v>0.43723060626682231</v>
      </c>
      <c r="X40" s="12">
        <f t="shared" ref="X40" si="62">1-X39</f>
        <v>0.43630443489131554</v>
      </c>
      <c r="Y40" s="12">
        <f t="shared" ref="Y40" si="63">1-Y39</f>
        <v>0.43537673927972509</v>
      </c>
      <c r="Z40" s="12">
        <f t="shared" ref="Z40" si="64">1-Z39</f>
        <v>0.43444751692355632</v>
      </c>
      <c r="AA40" s="12">
        <f t="shared" ref="AA40" si="65">1-AA39</f>
        <v>0.43351676531018701</v>
      </c>
      <c r="AB40" s="12">
        <f t="shared" ref="AB40" si="66">1-AB39</f>
        <v>0.43258448192285892</v>
      </c>
      <c r="AC40" s="12">
        <f t="shared" ref="AC40" si="67">1-AC39</f>
        <v>0.43165066424067244</v>
      </c>
      <c r="AD40" s="12">
        <f t="shared" ref="AD40" si="68">1-AD39</f>
        <v>0.43071530973857941</v>
      </c>
      <c r="AE40" s="12">
        <f t="shared" ref="AE40" si="69">1-AE39</f>
        <v>0.42977841588737575</v>
      </c>
      <c r="AF40" s="12">
        <f t="shared" ref="AF40" si="70">1-AF39</f>
        <v>0.42883998015369473</v>
      </c>
      <c r="AG40" s="12">
        <f t="shared" ref="AG40" si="71">1-AG39</f>
        <v>0.42790000000000095</v>
      </c>
    </row>
    <row r="41" spans="1:33" ht="15.75" thickBot="1" x14ac:dyDescent="0.3">
      <c r="A41" s="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21"/>
    </row>
    <row r="42" spans="1:33" x14ac:dyDescent="0.25">
      <c r="A42" s="110" t="s">
        <v>15</v>
      </c>
      <c r="B42" s="64" t="s">
        <v>16</v>
      </c>
      <c r="C42" s="54"/>
      <c r="D42" s="89">
        <f>D38*T42</f>
        <v>882.92185581599983</v>
      </c>
      <c r="E42" s="89">
        <f t="shared" ref="E42" si="72">E38*U42</f>
        <v>1006.9793701413598</v>
      </c>
      <c r="F42" s="89">
        <f t="shared" ref="F42" si="73">F38*V42</f>
        <v>1150.0427216411888</v>
      </c>
      <c r="G42" s="89">
        <f t="shared" ref="G42" si="74">G38*W42</f>
        <v>1315.2497132944923</v>
      </c>
      <c r="H42" s="89">
        <f t="shared" ref="H42" si="75">H38*X42</f>
        <v>1506.2917371008402</v>
      </c>
      <c r="I42" s="89">
        <f t="shared" ref="I42" si="76">I38*Y42</f>
        <v>1727.5174762042434</v>
      </c>
      <c r="J42" s="89">
        <f t="shared" ref="J42" si="77">J38*Z42</f>
        <v>1984.0571288543938</v>
      </c>
      <c r="K42" s="89">
        <f t="shared" ref="K42" si="78">K38*AA42</f>
        <v>2281.9714265683856</v>
      </c>
      <c r="L42" s="89">
        <f t="shared" ref="L42" si="79">L38*AB42</f>
        <v>2628.4306513290117</v>
      </c>
      <c r="M42" s="89">
        <f t="shared" ref="M42" si="80">M38*AC42</f>
        <v>3031.930001864213</v>
      </c>
      <c r="N42" s="89">
        <f t="shared" ref="N42" si="81">N38*AD42</f>
        <v>3502.5490675992864</v>
      </c>
      <c r="O42" s="89">
        <f t="shared" ref="O42" si="82">O38*AE42</f>
        <v>4052.2649038841114</v>
      </c>
      <c r="P42" s="89">
        <f t="shared" ref="P42" si="83">P38*AF42</f>
        <v>4695.330342436936</v>
      </c>
      <c r="Q42" s="89">
        <f t="shared" ref="Q42" si="84">Q38*AG42</f>
        <v>5448.7318152929547</v>
      </c>
      <c r="R42" s="76">
        <f>RATE(12,,-E42,Q42)</f>
        <v>0.1510819352401043</v>
      </c>
      <c r="S42" s="64" t="s">
        <v>16</v>
      </c>
      <c r="T42" s="12">
        <v>0.47099999999999992</v>
      </c>
      <c r="U42" s="12">
        <v>0.47038461538461535</v>
      </c>
      <c r="V42" s="12">
        <v>0.46976923076923072</v>
      </c>
      <c r="W42" s="12">
        <v>0.46915384615384609</v>
      </c>
      <c r="X42" s="12">
        <v>0.46853846153846151</v>
      </c>
      <c r="Y42" s="12">
        <v>0.46792307692307689</v>
      </c>
      <c r="Z42" s="12">
        <v>0.46730769230769226</v>
      </c>
      <c r="AA42" s="12">
        <v>0.46669230769230763</v>
      </c>
      <c r="AB42" s="12">
        <v>0.46607692307692306</v>
      </c>
      <c r="AC42" s="12">
        <v>0.46546153846153843</v>
      </c>
      <c r="AD42" s="12">
        <v>0.4648461538461538</v>
      </c>
      <c r="AE42" s="12">
        <v>0.46423076923076922</v>
      </c>
      <c r="AF42" s="12">
        <v>0.4636153846153846</v>
      </c>
      <c r="AG42" s="12">
        <v>0.46299999999999997</v>
      </c>
    </row>
    <row r="43" spans="1:33" ht="15.75" thickBot="1" x14ac:dyDescent="0.3">
      <c r="A43" s="111"/>
      <c r="B43" s="65" t="s">
        <v>17</v>
      </c>
      <c r="C43" s="55"/>
      <c r="D43" s="90">
        <f>D38*T43</f>
        <v>991.64684018400033</v>
      </c>
      <c r="E43" s="90">
        <f t="shared" ref="E43" si="85">E38*U43</f>
        <v>1133.7780806906399</v>
      </c>
      <c r="F43" s="90">
        <f t="shared" ref="F43" si="86">F38*V43</f>
        <v>1298.0586998972847</v>
      </c>
      <c r="G43" s="90">
        <f t="shared" ref="G43" si="87">G38*W43</f>
        <v>1488.2010610666166</v>
      </c>
      <c r="H43" s="90">
        <f t="shared" ref="H43" si="88">H38*X43</f>
        <v>1708.5814499474152</v>
      </c>
      <c r="I43" s="90">
        <f t="shared" ref="I43" si="89">I38*Y43</f>
        <v>1964.3660008063052</v>
      </c>
      <c r="J43" s="90">
        <f t="shared" ref="J43" si="90">J38*Z43</f>
        <v>2261.6618300109762</v>
      </c>
      <c r="K43" s="90">
        <f t="shared" ref="K43" si="91">K38*AA43</f>
        <v>2607.6986814568359</v>
      </c>
      <c r="L43" s="90">
        <f t="shared" ref="L43" si="92">L38*AB43</f>
        <v>3011.0475574970574</v>
      </c>
      <c r="M43" s="90">
        <f t="shared" ref="M43" si="93">M38*AC43</f>
        <v>3481.884247720116</v>
      </c>
      <c r="N43" s="90">
        <f t="shared" ref="N43" si="94">N38*AD43</f>
        <v>4032.3074405573793</v>
      </c>
      <c r="O43" s="90">
        <f t="shared" ref="O43" si="95">O38*AE43</f>
        <v>4676.7232900667505</v>
      </c>
      <c r="P43" s="90">
        <f t="shared" ref="P43" si="96">P38*AF43</f>
        <v>5432.3110134084554</v>
      </c>
      <c r="Q43" s="90">
        <f t="shared" ref="Q43" si="97">Q38*AG43</f>
        <v>6319.5874401993897</v>
      </c>
      <c r="R43" s="77">
        <f>RATE(12,,-E43,Q43)</f>
        <v>0.15393157179304226</v>
      </c>
      <c r="S43" s="65" t="s">
        <v>17</v>
      </c>
      <c r="T43" s="12">
        <f>1-T42</f>
        <v>0.52900000000000014</v>
      </c>
      <c r="U43" s="12">
        <f t="shared" ref="U43" si="98">1-U42</f>
        <v>0.5296153846153846</v>
      </c>
      <c r="V43" s="12">
        <f t="shared" ref="V43" si="99">1-V42</f>
        <v>0.53023076923076928</v>
      </c>
      <c r="W43" s="12">
        <f t="shared" ref="W43" si="100">1-W42</f>
        <v>0.53084615384615397</v>
      </c>
      <c r="X43" s="12">
        <f t="shared" ref="X43" si="101">1-X42</f>
        <v>0.53146153846153843</v>
      </c>
      <c r="Y43" s="12">
        <f t="shared" ref="Y43" si="102">1-Y42</f>
        <v>0.53207692307692311</v>
      </c>
      <c r="Z43" s="12">
        <f t="shared" ref="Z43" si="103">1-Z42</f>
        <v>0.5326923076923078</v>
      </c>
      <c r="AA43" s="12">
        <f t="shared" ref="AA43" si="104">1-AA42</f>
        <v>0.53330769230769237</v>
      </c>
      <c r="AB43" s="12">
        <f t="shared" ref="AB43" si="105">1-AB42</f>
        <v>0.53392307692307694</v>
      </c>
      <c r="AC43" s="12">
        <f t="shared" ref="AC43" si="106">1-AC42</f>
        <v>0.53453846153846163</v>
      </c>
      <c r="AD43" s="12">
        <f t="shared" ref="AD43" si="107">1-AD42</f>
        <v>0.5351538461538462</v>
      </c>
      <c r="AE43" s="12">
        <f t="shared" ref="AE43" si="108">1-AE42</f>
        <v>0.53576923076923078</v>
      </c>
      <c r="AF43" s="12">
        <f t="shared" ref="AF43" si="109">1-AF42</f>
        <v>0.53638461538461546</v>
      </c>
      <c r="AG43" s="12">
        <f t="shared" ref="AG43" si="110">1-AG42</f>
        <v>0.53700000000000003</v>
      </c>
    </row>
    <row r="44" spans="1:33" ht="15.75" thickBot="1" x14ac:dyDescent="0.3">
      <c r="A44" s="1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21"/>
    </row>
    <row r="45" spans="1:33" x14ac:dyDescent="0.25">
      <c r="A45" s="110" t="s">
        <v>18</v>
      </c>
      <c r="B45" s="61" t="s">
        <v>19</v>
      </c>
      <c r="C45" s="56"/>
      <c r="D45" s="91">
        <f>D38*T45</f>
        <v>751.702047096</v>
      </c>
      <c r="E45" s="91">
        <f t="shared" ref="E45" si="111">E38*U45</f>
        <v>861.97792567201543</v>
      </c>
      <c r="F45" s="91">
        <f t="shared" ref="F45" si="112">F38*V45</f>
        <v>989.78847649563454</v>
      </c>
      <c r="G45" s="91">
        <f t="shared" ref="G45" si="113">G38*W45</f>
        <v>1138.1256973395177</v>
      </c>
      <c r="H45" s="91">
        <f t="shared" ref="H45" si="114">H38*X45</f>
        <v>1310.5254170796786</v>
      </c>
      <c r="I45" s="91">
        <f t="shared" ref="I45" si="115">I38*Y45</f>
        <v>1511.1719873644502</v>
      </c>
      <c r="J45" s="91">
        <f t="shared" ref="J45" si="116">J38*Z45</f>
        <v>1745.0242213371848</v>
      </c>
      <c r="K45" s="91">
        <f t="shared" ref="K45" si="117">K38*AA45</f>
        <v>2017.9671080480146</v>
      </c>
      <c r="L45" s="91">
        <f t="shared" ref="L45" si="118">L38*AB45</f>
        <v>2336.9948416599809</v>
      </c>
      <c r="M45" s="91">
        <f t="shared" ref="M45" si="119">M38*AC45</f>
        <v>2710.4319504072505</v>
      </c>
      <c r="N45" s="91">
        <f t="shared" ref="N45" si="120">N38*AD45</f>
        <v>3148.2008486044178</v>
      </c>
      <c r="O45" s="91">
        <f t="shared" ref="O45" si="121">O38*AE45</f>
        <v>3662.1460373422151</v>
      </c>
      <c r="P45" s="91">
        <f t="shared" ref="P45" si="122">P38*AF45</f>
        <v>4266.4275355087593</v>
      </c>
      <c r="Q45" s="91">
        <f t="shared" ref="Q45" si="123">Q38*AG45</f>
        <v>4977.9990450732539</v>
      </c>
      <c r="R45" s="78">
        <f>RATE(12,,-E45,Q45)</f>
        <v>0.15734601888255387</v>
      </c>
      <c r="S45" s="61" t="s">
        <v>19</v>
      </c>
      <c r="T45" s="12">
        <v>0.40099999999999997</v>
      </c>
      <c r="U45" s="12">
        <v>0.40265090533119946</v>
      </c>
      <c r="V45" s="12">
        <v>0.40430860739160734</v>
      </c>
      <c r="W45" s="12">
        <v>0.40597313416316017</v>
      </c>
      <c r="X45" s="12">
        <v>0.40764451374299493</v>
      </c>
      <c r="Y45" s="12">
        <v>0.40932277434392395</v>
      </c>
      <c r="Z45" s="12">
        <v>0.41100794429491083</v>
      </c>
      <c r="AA45" s="12">
        <v>0.4127000520415488</v>
      </c>
      <c r="AB45" s="12">
        <v>0.41439912614654062</v>
      </c>
      <c r="AC45" s="12">
        <v>0.41610519529018092</v>
      </c>
      <c r="AD45" s="12">
        <v>0.41781828827084017</v>
      </c>
      <c r="AE45" s="12">
        <v>0.4195384340054511</v>
      </c>
      <c r="AF45" s="12">
        <v>0.4212656615299965</v>
      </c>
      <c r="AG45" s="12">
        <v>0.42299999999999938</v>
      </c>
    </row>
    <row r="46" spans="1:33" ht="15.75" thickBot="1" x14ac:dyDescent="0.3">
      <c r="A46" s="111"/>
      <c r="B46" s="63" t="s">
        <v>20</v>
      </c>
      <c r="C46" s="51"/>
      <c r="D46" s="92">
        <f>D38*T46</f>
        <v>1122.8666489039999</v>
      </c>
      <c r="E46" s="92">
        <f t="shared" ref="E46" si="124">E38*U46</f>
        <v>1278.7795251599844</v>
      </c>
      <c r="F46" s="92">
        <f t="shared" ref="F46" si="125">F38*V46</f>
        <v>1458.3129450428389</v>
      </c>
      <c r="G46" s="92">
        <f t="shared" ref="G46" si="126">G38*W46</f>
        <v>1665.3250770215911</v>
      </c>
      <c r="H46" s="92">
        <f t="shared" ref="H46" si="127">H38*X46</f>
        <v>1904.347769968577</v>
      </c>
      <c r="I46" s="92">
        <f t="shared" ref="I46" si="128">I38*Y46</f>
        <v>2180.7114896460985</v>
      </c>
      <c r="J46" s="92">
        <f t="shared" ref="J46" si="129">J38*Z46</f>
        <v>2500.6947375281852</v>
      </c>
      <c r="K46" s="92">
        <f t="shared" ref="K46" si="130">K38*AA46</f>
        <v>2871.7029999772071</v>
      </c>
      <c r="L46" s="92">
        <f t="shared" ref="L46" si="131">L38*AB46</f>
        <v>3302.4833671660881</v>
      </c>
      <c r="M46" s="92">
        <f t="shared" ref="M46" si="132">M38*AC46</f>
        <v>3803.3822991770785</v>
      </c>
      <c r="N46" s="92">
        <f t="shared" ref="N46" si="133">N38*AD46</f>
        <v>4386.6556595522479</v>
      </c>
      <c r="O46" s="92">
        <f t="shared" ref="O46" si="134">O38*AE46</f>
        <v>5066.8421566086463</v>
      </c>
      <c r="P46" s="92">
        <f t="shared" ref="P46" si="135">P38*AF46</f>
        <v>5861.2138203366312</v>
      </c>
      <c r="Q46" s="92">
        <f t="shared" ref="Q46" si="136">Q38*AG46</f>
        <v>6790.3202104190905</v>
      </c>
      <c r="R46" s="79">
        <f>RATE(12,,-E46,Q46)</f>
        <v>0.14927655794488762</v>
      </c>
      <c r="S46" s="63" t="s">
        <v>20</v>
      </c>
      <c r="T46" s="12">
        <f>1-T45</f>
        <v>0.59899999999999998</v>
      </c>
      <c r="U46" s="12">
        <f t="shared" ref="U46" si="137">1-U45</f>
        <v>0.59734909466880048</v>
      </c>
      <c r="V46" s="12">
        <f t="shared" ref="V46" si="138">1-V45</f>
        <v>0.59569139260839266</v>
      </c>
      <c r="W46" s="12">
        <f t="shared" ref="W46" si="139">1-W45</f>
        <v>0.59402686583683983</v>
      </c>
      <c r="X46" s="12">
        <f t="shared" ref="X46" si="140">1-X45</f>
        <v>0.59235548625700507</v>
      </c>
      <c r="Y46" s="12">
        <f t="shared" ref="Y46" si="141">1-Y45</f>
        <v>0.59067722565607605</v>
      </c>
      <c r="Z46" s="12">
        <f t="shared" ref="Z46" si="142">1-Z45</f>
        <v>0.58899205570508917</v>
      </c>
      <c r="AA46" s="12">
        <f t="shared" ref="AA46" si="143">1-AA45</f>
        <v>0.5872999479584512</v>
      </c>
      <c r="AB46" s="12">
        <f t="shared" ref="AB46" si="144">1-AB45</f>
        <v>0.58560087385345938</v>
      </c>
      <c r="AC46" s="12">
        <f t="shared" ref="AC46" si="145">1-AC45</f>
        <v>0.58389480470981914</v>
      </c>
      <c r="AD46" s="12">
        <f t="shared" ref="AD46" si="146">1-AD45</f>
        <v>0.58218171172915989</v>
      </c>
      <c r="AE46" s="12">
        <f t="shared" ref="AE46" si="147">1-AE45</f>
        <v>0.5804615659945489</v>
      </c>
      <c r="AF46" s="12">
        <f t="shared" ref="AF46" si="148">1-AF45</f>
        <v>0.57873433847000344</v>
      </c>
      <c r="AG46" s="12">
        <f t="shared" ref="AG46" si="149">1-AG45</f>
        <v>0.57700000000000062</v>
      </c>
    </row>
    <row r="47" spans="1:33" ht="15.75" thickBot="1" x14ac:dyDescent="0.3">
      <c r="A47" s="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21"/>
    </row>
    <row r="48" spans="1:33" x14ac:dyDescent="0.25">
      <c r="A48" s="110" t="s">
        <v>14</v>
      </c>
      <c r="B48" s="66" t="s">
        <v>21</v>
      </c>
      <c r="C48" s="57"/>
      <c r="D48" s="93">
        <f>D38*T48</f>
        <v>468.64217400000001</v>
      </c>
      <c r="E48" s="93">
        <f t="shared" ref="E48" si="150">E38*U48</f>
        <v>538.52024299373556</v>
      </c>
      <c r="F48" s="93">
        <f t="shared" ref="F48" si="151">F38*V48</f>
        <v>619.66723745697448</v>
      </c>
      <c r="G48" s="93">
        <f t="shared" ref="G48" si="152">G38*W48</f>
        <v>714.03027106285583</v>
      </c>
      <c r="H48" s="93">
        <f t="shared" ref="H48" si="153">H38*X48</f>
        <v>823.91440487422483</v>
      </c>
      <c r="I48" s="93">
        <f t="shared" ref="I48" si="154">I38*Y48</f>
        <v>952.05227448426342</v>
      </c>
      <c r="J48" s="93">
        <f t="shared" ref="J48" si="155">J38*Z48</f>
        <v>1101.6879843241784</v>
      </c>
      <c r="K48" s="93">
        <f t="shared" ref="K48" si="156">K38*AA48</f>
        <v>1276.678337423336</v>
      </c>
      <c r="L48" s="93">
        <f t="shared" ref="L48" si="157">L38*AB48</f>
        <v>1481.6151593064162</v>
      </c>
      <c r="M48" s="93">
        <f t="shared" ref="M48" si="158">M38*AC48</f>
        <v>1721.9733272144749</v>
      </c>
      <c r="N48" s="93">
        <f t="shared" ref="N48" si="159">N38*AD48</f>
        <v>2004.290170066653</v>
      </c>
      <c r="O48" s="93">
        <f t="shared" ref="O48" si="160">O38*AE48</f>
        <v>2336.3832102238948</v>
      </c>
      <c r="P48" s="93">
        <f t="shared" ref="P48" si="161">P38*AF48</f>
        <v>2727.6148375762718</v>
      </c>
      <c r="Q48" s="93">
        <f t="shared" ref="Q48" si="162">Q38*AG48</f>
        <v>3189.214518238427</v>
      </c>
      <c r="R48" s="80">
        <f t="shared" ref="R48:R53" si="163">RATE(12,,-E48,Q48)</f>
        <v>0.15977428443335601</v>
      </c>
      <c r="S48" s="66" t="s">
        <v>21</v>
      </c>
      <c r="T48" s="12">
        <v>0.25</v>
      </c>
      <c r="U48" s="12">
        <v>0.25155593539307364</v>
      </c>
      <c r="V48" s="12">
        <v>0.25312155452593693</v>
      </c>
      <c r="W48" s="12">
        <v>0.25469691766768382</v>
      </c>
      <c r="X48" s="12">
        <v>0.25628208546250747</v>
      </c>
      <c r="Y48" s="12">
        <v>0.2578771189320348</v>
      </c>
      <c r="Z48" s="12">
        <v>0.25948207947767565</v>
      </c>
      <c r="AA48" s="12">
        <v>0.2610970288829863</v>
      </c>
      <c r="AB48" s="12">
        <v>0.26272202931604799</v>
      </c>
      <c r="AC48" s="12">
        <v>0.26435714333185978</v>
      </c>
      <c r="AD48" s="12">
        <v>0.26600243387474731</v>
      </c>
      <c r="AE48" s="12">
        <v>0.26765796428078514</v>
      </c>
      <c r="AF48" s="12">
        <v>0.26932379828023517</v>
      </c>
      <c r="AG48" s="12">
        <v>0.27100000000000013</v>
      </c>
    </row>
    <row r="49" spans="1:33" x14ac:dyDescent="0.25">
      <c r="A49" s="112"/>
      <c r="B49" s="67" t="s">
        <v>22</v>
      </c>
      <c r="C49" s="48"/>
      <c r="D49" s="94">
        <f>D38*T49</f>
        <v>712.33610448000002</v>
      </c>
      <c r="E49" s="94">
        <f t="shared" ref="E49" si="164">E38*U49</f>
        <v>815.43568378684199</v>
      </c>
      <c r="F49" s="94">
        <f t="shared" ref="F49" si="165">F38*V49</f>
        <v>934.73887678762003</v>
      </c>
      <c r="G49" s="94">
        <f t="shared" ref="G49" si="166">G38*W49</f>
        <v>1072.9821226195913</v>
      </c>
      <c r="H49" s="94">
        <f t="shared" ref="H49" si="167">H38*X49</f>
        <v>1233.3946191868349</v>
      </c>
      <c r="I49" s="94">
        <f t="shared" ref="I49" si="168">I38*Y49</f>
        <v>1419.7923762933845</v>
      </c>
      <c r="J49" s="94">
        <f t="shared" ref="J49" si="169">J38*Z49</f>
        <v>1636.6912066920622</v>
      </c>
      <c r="K49" s="94">
        <f t="shared" ref="K49" si="170">K38*AA49</f>
        <v>1889.4426619439748</v>
      </c>
      <c r="L49" s="94">
        <f t="shared" ref="L49" si="171">L38*AB49</f>
        <v>2184.3978078969358</v>
      </c>
      <c r="M49" s="94">
        <f t="shared" ref="M49" si="172">M38*AC49</f>
        <v>2529.1048279984793</v>
      </c>
      <c r="N49" s="94">
        <f t="shared" ref="N49" si="173">N38*AD49</f>
        <v>2932.5477911101439</v>
      </c>
      <c r="O49" s="94">
        <f t="shared" ref="O49" si="174">O38*AE49</f>
        <v>3405.435585954925</v>
      </c>
      <c r="P49" s="94">
        <f t="shared" ref="P49" si="175">P38*AF49</f>
        <v>3960.5520844323464</v>
      </c>
      <c r="Q49" s="94">
        <f t="shared" ref="Q49" si="176">Q38*AG49</f>
        <v>4613.1811481529994</v>
      </c>
      <c r="R49" s="81">
        <f t="shared" si="163"/>
        <v>0.15536063500935268</v>
      </c>
      <c r="S49" s="67" t="s">
        <v>22</v>
      </c>
      <c r="T49" s="12">
        <v>0.38</v>
      </c>
      <c r="U49" s="12">
        <v>0.38090988938047371</v>
      </c>
      <c r="V49" s="12">
        <v>0.38182195744169661</v>
      </c>
      <c r="W49" s="12">
        <v>0.38273620940040159</v>
      </c>
      <c r="X49" s="12">
        <v>0.38365265048581265</v>
      </c>
      <c r="Y49" s="12">
        <v>0.38457128593967477</v>
      </c>
      <c r="Z49" s="12">
        <v>0.38549212101628438</v>
      </c>
      <c r="AA49" s="12">
        <v>0.38641516098251855</v>
      </c>
      <c r="AB49" s="12">
        <v>0.38734041111786593</v>
      </c>
      <c r="AC49" s="12">
        <v>0.38826787671445667</v>
      </c>
      <c r="AD49" s="12">
        <v>0.38919756307709236</v>
      </c>
      <c r="AE49" s="12">
        <v>0.39012947552327681</v>
      </c>
      <c r="AF49" s="12">
        <v>0.3910636193832463</v>
      </c>
      <c r="AG49" s="12">
        <v>0.39200000000000002</v>
      </c>
    </row>
    <row r="50" spans="1:33" x14ac:dyDescent="0.25">
      <c r="A50" s="112"/>
      <c r="B50" s="68" t="s">
        <v>23</v>
      </c>
      <c r="C50" s="48"/>
      <c r="D50" s="95">
        <f>D49*T50</f>
        <v>249.3176365679999</v>
      </c>
      <c r="E50" s="95">
        <f t="shared" ref="E50" si="177">E49*U50</f>
        <v>284.90171712036187</v>
      </c>
      <c r="F50" s="95">
        <f t="shared" ref="F50" si="178">F49*V50</f>
        <v>326.01153765314626</v>
      </c>
      <c r="G50" s="95">
        <f t="shared" ref="G50" si="179">G49*W50</f>
        <v>373.57040254742407</v>
      </c>
      <c r="H50" s="95">
        <f t="shared" ref="H50" si="180">H49*X50</f>
        <v>428.66629146292195</v>
      </c>
      <c r="I50" s="95">
        <f t="shared" ref="I50" si="181">I49*Y50</f>
        <v>492.58301671213735</v>
      </c>
      <c r="J50" s="95">
        <f t="shared" ref="J50" si="182">J49*Z50</f>
        <v>566.83760370892196</v>
      </c>
      <c r="K50" s="95">
        <f t="shared" ref="K50" si="183">K49*AA50</f>
        <v>653.22520129063503</v>
      </c>
      <c r="L50" s="95">
        <f t="shared" ref="L50" si="184">L49*AB50</f>
        <v>753.87311625761936</v>
      </c>
      <c r="M50" s="95">
        <f t="shared" ref="M50" si="185">M49*AC50</f>
        <v>871.30592012503041</v>
      </c>
      <c r="N50" s="95">
        <f t="shared" ref="N50" si="186">N49*AD50</f>
        <v>1008.5240116797557</v>
      </c>
      <c r="O50" s="95">
        <f t="shared" ref="O50" si="187">O49*AE50</f>
        <v>1169.0985562661642</v>
      </c>
      <c r="P50" s="95">
        <f t="shared" ref="P50" si="188">P49*AF50</f>
        <v>1357.2863865435761</v>
      </c>
      <c r="Q50" s="95">
        <f t="shared" ref="Q50" si="189">Q49*AG50</f>
        <v>1578.1692707831401</v>
      </c>
      <c r="R50" s="81">
        <f t="shared" si="163"/>
        <v>0.15333341901011835</v>
      </c>
      <c r="S50" s="68" t="s">
        <v>23</v>
      </c>
      <c r="T50" s="74">
        <v>0.34999999999999987</v>
      </c>
      <c r="U50" s="74">
        <v>0.34938588387166564</v>
      </c>
      <c r="V50" s="74">
        <v>0.34877284528224306</v>
      </c>
      <c r="W50" s="74">
        <v>0.34816088234106346</v>
      </c>
      <c r="X50" s="74">
        <v>0.34754999316077562</v>
      </c>
      <c r="Y50" s="74">
        <v>0.34694017585733994</v>
      </c>
      <c r="Z50" s="74">
        <v>0.34633142855002247</v>
      </c>
      <c r="AA50" s="74">
        <v>0.34572374936138933</v>
      </c>
      <c r="AB50" s="74">
        <v>0.34511713641730069</v>
      </c>
      <c r="AC50" s="74">
        <v>0.34451158784690528</v>
      </c>
      <c r="AD50" s="74">
        <v>0.34390710178263434</v>
      </c>
      <c r="AE50" s="74">
        <v>0.34330367636019604</v>
      </c>
      <c r="AF50" s="74">
        <v>0.34270130971856966</v>
      </c>
      <c r="AG50" s="74">
        <v>0.34209999999999979</v>
      </c>
    </row>
    <row r="51" spans="1:33" x14ac:dyDescent="0.25">
      <c r="A51" s="112"/>
      <c r="B51" s="68" t="s">
        <v>24</v>
      </c>
      <c r="C51" s="48"/>
      <c r="D51" s="95">
        <f>D49*T51</f>
        <v>199.45410925440004</v>
      </c>
      <c r="E51" s="95">
        <f t="shared" ref="E51" si="190">E49*U51</f>
        <v>229.12045654528239</v>
      </c>
      <c r="F51" s="95">
        <f t="shared" ref="F51" si="191">F49*V51</f>
        <v>263.56065709860144</v>
      </c>
      <c r="G51" s="95">
        <f t="shared" ref="G51" si="192">G49*W51</f>
        <v>303.59798452417596</v>
      </c>
      <c r="H51" s="95">
        <f t="shared" ref="H51" si="193">H49*X51</f>
        <v>350.20679608107542</v>
      </c>
      <c r="I51" s="95">
        <f t="shared" ref="I51" si="194">I49*Y51</f>
        <v>404.541874375075</v>
      </c>
      <c r="J51" s="95">
        <f t="shared" ref="J51" si="195">J49*Z51</f>
        <v>467.97377255573741</v>
      </c>
      <c r="K51" s="95">
        <f t="shared" ref="K51" si="196">K49*AA51</f>
        <v>542.13145234823094</v>
      </c>
      <c r="L51" s="95">
        <f t="shared" ref="L51" si="197">L49*AB51</f>
        <v>628.95379399632884</v>
      </c>
      <c r="M51" s="95">
        <f t="shared" ref="M51" si="198">M49*AC51</f>
        <v>730.75191488188409</v>
      </c>
      <c r="N51" s="95">
        <f t="shared" ref="N51" si="199">N49*AD51</f>
        <v>850.28467581234804</v>
      </c>
      <c r="O51" s="95">
        <f t="shared" ref="O51" si="200">O49*AE51</f>
        <v>990.85030153004925</v>
      </c>
      <c r="P51" s="95">
        <f t="shared" ref="P51" si="201">P49*AF51</f>
        <v>1156.3977210092778</v>
      </c>
      <c r="Q51" s="95">
        <f t="shared" ref="Q51" si="202">Q49*AG51</f>
        <v>1351.6620764088273</v>
      </c>
      <c r="R51" s="81">
        <f t="shared" si="163"/>
        <v>0.15940104793918961</v>
      </c>
      <c r="S51" s="68" t="s">
        <v>24</v>
      </c>
      <c r="T51" s="74">
        <v>0.28000000000000003</v>
      </c>
      <c r="U51" s="74">
        <v>0.28097918830490543</v>
      </c>
      <c r="V51" s="74">
        <v>0.28196180093029821</v>
      </c>
      <c r="W51" s="74">
        <v>0.28294784985137333</v>
      </c>
      <c r="X51" s="74">
        <v>0.28393734708520407</v>
      </c>
      <c r="Y51" s="74">
        <v>0.28493030469088876</v>
      </c>
      <c r="Z51" s="74">
        <v>0.28592673476969749</v>
      </c>
      <c r="AA51" s="74">
        <v>0.28692664946521995</v>
      </c>
      <c r="AB51" s="74">
        <v>0.28793006096351298</v>
      </c>
      <c r="AC51" s="74">
        <v>0.28893698149324931</v>
      </c>
      <c r="AD51" s="74">
        <v>0.28994742332586665</v>
      </c>
      <c r="AE51" s="74">
        <v>0.29096139877571725</v>
      </c>
      <c r="AF51" s="74">
        <v>0.29197892020021765</v>
      </c>
      <c r="AG51" s="74">
        <v>0.29299999999999965</v>
      </c>
    </row>
    <row r="52" spans="1:33" x14ac:dyDescent="0.25">
      <c r="A52" s="112"/>
      <c r="B52" s="68" t="s">
        <v>25</v>
      </c>
      <c r="C52" s="48"/>
      <c r="D52" s="95">
        <f>D49*T52</f>
        <v>263.56435865760011</v>
      </c>
      <c r="E52" s="95">
        <f t="shared" ref="E52" si="203">E49*U52</f>
        <v>301.41351012119782</v>
      </c>
      <c r="F52" s="95">
        <f t="shared" ref="F52" si="204">F49*V52</f>
        <v>345.16668203587233</v>
      </c>
      <c r="G52" s="95">
        <f t="shared" ref="G52" si="205">G49*W52</f>
        <v>395.81373554799131</v>
      </c>
      <c r="H52" s="95">
        <f t="shared" ref="H52" si="206">H49*X52</f>
        <v>454.52153164283749</v>
      </c>
      <c r="I52" s="95">
        <f t="shared" ref="I52" si="207">I49*Y52</f>
        <v>522.66748520617205</v>
      </c>
      <c r="J52" s="95">
        <f t="shared" ref="J52" si="208">J49*Z52</f>
        <v>601.87983042740279</v>
      </c>
      <c r="K52" s="95">
        <f t="shared" ref="K52" si="209">K49*AA52</f>
        <v>694.08600830510898</v>
      </c>
      <c r="L52" s="95">
        <f t="shared" ref="L52" si="210">L49*AB52</f>
        <v>801.57089764298769</v>
      </c>
      <c r="M52" s="95">
        <f t="shared" ref="M52" si="211">M49*AC52</f>
        <v>927.04699299156482</v>
      </c>
      <c r="N52" s="95">
        <f t="shared" ref="N52" si="212">N49*AD52</f>
        <v>1073.73910361804</v>
      </c>
      <c r="O52" s="95">
        <f t="shared" ref="O52" si="213">O49*AE52</f>
        <v>1245.4867281587115</v>
      </c>
      <c r="P52" s="95">
        <f t="shared" ref="P52" si="214">P49*AF52</f>
        <v>1446.8679768794927</v>
      </c>
      <c r="Q52" s="95">
        <f t="shared" ref="Q52" si="215">Q49*AG52</f>
        <v>1683.3498009610321</v>
      </c>
      <c r="R52" s="81">
        <f t="shared" si="163"/>
        <v>0.15412001161534147</v>
      </c>
      <c r="S52" s="68" t="s">
        <v>25</v>
      </c>
      <c r="T52" s="74">
        <f>1-SUM(T50:T51)</f>
        <v>0.37000000000000011</v>
      </c>
      <c r="U52" s="74">
        <f t="shared" ref="U52" si="216">1-SUM(U50:U51)</f>
        <v>0.36963492782342899</v>
      </c>
      <c r="V52" s="74">
        <f t="shared" ref="V52" si="217">1-SUM(V50:V51)</f>
        <v>0.36926535378745873</v>
      </c>
      <c r="W52" s="74">
        <f t="shared" ref="W52" si="218">1-SUM(W50:W51)</f>
        <v>0.36889126780756321</v>
      </c>
      <c r="X52" s="74">
        <f t="shared" ref="X52" si="219">1-SUM(X50:X51)</f>
        <v>0.36851265975402026</v>
      </c>
      <c r="Y52" s="74">
        <f t="shared" ref="Y52" si="220">1-SUM(Y50:Y51)</f>
        <v>0.3681295194517713</v>
      </c>
      <c r="Z52" s="74">
        <f t="shared" ref="Z52" si="221">1-SUM(Z50:Z51)</f>
        <v>0.36774183668028004</v>
      </c>
      <c r="AA52" s="74">
        <f t="shared" ref="AA52" si="222">1-SUM(AA50:AA51)</f>
        <v>0.36734960117339077</v>
      </c>
      <c r="AB52" s="74">
        <f t="shared" ref="AB52" si="223">1-SUM(AB50:AB51)</f>
        <v>0.36695280261918639</v>
      </c>
      <c r="AC52" s="74">
        <f t="shared" ref="AC52" si="224">1-SUM(AC50:AC51)</f>
        <v>0.36655143065984541</v>
      </c>
      <c r="AD52" s="74">
        <f t="shared" ref="AD52" si="225">1-SUM(AD50:AD51)</f>
        <v>0.36614547489149896</v>
      </c>
      <c r="AE52" s="74">
        <f t="shared" ref="AE52" si="226">1-SUM(AE50:AE51)</f>
        <v>0.36573492486408665</v>
      </c>
      <c r="AF52" s="74">
        <f t="shared" ref="AF52" si="227">1-SUM(AF50:AF51)</f>
        <v>0.36531977008121275</v>
      </c>
      <c r="AG52" s="74">
        <f t="shared" ref="AG52" si="228">1-SUM(AG50:AG51)</f>
        <v>0.36490000000000056</v>
      </c>
    </row>
    <row r="53" spans="1:33" ht="15.75" thickBot="1" x14ac:dyDescent="0.3">
      <c r="A53" s="111"/>
      <c r="B53" s="69" t="s">
        <v>26</v>
      </c>
      <c r="C53" s="58"/>
      <c r="D53" s="96">
        <f>D38*T53</f>
        <v>693.59041751999996</v>
      </c>
      <c r="E53" s="96">
        <f t="shared" ref="E53" si="229">E38*U53</f>
        <v>786.80152405142246</v>
      </c>
      <c r="F53" s="96">
        <f t="shared" ref="F53" si="230">F38*V53</f>
        <v>893.69530729387907</v>
      </c>
      <c r="G53" s="96">
        <f t="shared" ref="G53" si="231">G38*W53</f>
        <v>1016.4383806786617</v>
      </c>
      <c r="H53" s="96">
        <f t="shared" ref="H53" si="232">H38*X53</f>
        <v>1157.5641629871959</v>
      </c>
      <c r="I53" s="96">
        <f t="shared" ref="I53" si="233">I38*Y53</f>
        <v>1320.0388262329006</v>
      </c>
      <c r="J53" s="96">
        <f t="shared" ref="J53" si="234">J38*Z53</f>
        <v>1507.3397678491297</v>
      </c>
      <c r="K53" s="96">
        <f t="shared" ref="K53" si="235">K38*AA53</f>
        <v>1723.5491086579107</v>
      </c>
      <c r="L53" s="96">
        <f t="shared" ref="L53" si="236">L38*AB53</f>
        <v>1973.465241622717</v>
      </c>
      <c r="M53" s="96">
        <f t="shared" ref="M53" si="237">M38*AC53</f>
        <v>2262.7360943713747</v>
      </c>
      <c r="N53" s="96">
        <f t="shared" ref="N53" si="238">N38*AD53</f>
        <v>2598.0185469798694</v>
      </c>
      <c r="O53" s="96">
        <f t="shared" ref="O53" si="239">O38*AE53</f>
        <v>2987.1693977720415</v>
      </c>
      <c r="P53" s="96">
        <f t="shared" ref="P53" si="240">P38*AF53</f>
        <v>3439.4744338367736</v>
      </c>
      <c r="Q53" s="96">
        <f t="shared" ref="Q53" si="241">Q38*AG53</f>
        <v>3965.9235891009184</v>
      </c>
      <c r="R53" s="82">
        <f t="shared" si="163"/>
        <v>0.14430008227207161</v>
      </c>
      <c r="S53" s="69" t="s">
        <v>26</v>
      </c>
      <c r="T53" s="12">
        <f>1-SUM(T48+T49)</f>
        <v>0.37</v>
      </c>
      <c r="U53" s="12">
        <f t="shared" ref="U53:AG53" si="242">1-SUM(U48+U49)</f>
        <v>0.36753417522645271</v>
      </c>
      <c r="V53" s="12">
        <f t="shared" si="242"/>
        <v>0.36505648803236646</v>
      </c>
      <c r="W53" s="12">
        <f t="shared" si="242"/>
        <v>0.36256687293191459</v>
      </c>
      <c r="X53" s="12">
        <f t="shared" si="242"/>
        <v>0.36006526405167993</v>
      </c>
      <c r="Y53" s="12">
        <f t="shared" si="242"/>
        <v>0.35755159512829038</v>
      </c>
      <c r="Z53" s="12">
        <f t="shared" si="242"/>
        <v>0.35502579950603996</v>
      </c>
      <c r="AA53" s="12">
        <f t="shared" si="242"/>
        <v>0.35248781013449515</v>
      </c>
      <c r="AB53" s="12">
        <f t="shared" si="242"/>
        <v>0.34993755956608608</v>
      </c>
      <c r="AC53" s="12">
        <f t="shared" si="242"/>
        <v>0.3473749799536836</v>
      </c>
      <c r="AD53" s="12">
        <f t="shared" si="242"/>
        <v>0.34480000304816039</v>
      </c>
      <c r="AE53" s="12">
        <f t="shared" si="242"/>
        <v>0.34221256019593804</v>
      </c>
      <c r="AF53" s="12">
        <f t="shared" si="242"/>
        <v>0.33961258233651859</v>
      </c>
      <c r="AG53" s="12">
        <f t="shared" si="242"/>
        <v>0.33699999999999986</v>
      </c>
    </row>
    <row r="54" spans="1:33" ht="15.75" thickBot="1" x14ac:dyDescent="0.3">
      <c r="A54" s="2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21"/>
    </row>
    <row r="55" spans="1:33" x14ac:dyDescent="0.25">
      <c r="A55" s="113" t="s">
        <v>27</v>
      </c>
      <c r="B55" s="61" t="s">
        <v>28</v>
      </c>
      <c r="C55" s="56"/>
      <c r="D55" s="91">
        <f>D38*T55</f>
        <v>751.702047096</v>
      </c>
      <c r="E55" s="91">
        <f t="shared" ref="E55" si="243">E38*U55</f>
        <v>861.97792567201543</v>
      </c>
      <c r="F55" s="91">
        <f t="shared" ref="F55" si="244">F38*V55</f>
        <v>989.78847649563454</v>
      </c>
      <c r="G55" s="91">
        <f t="shared" ref="G55" si="245">G38*W55</f>
        <v>1138.1256973395177</v>
      </c>
      <c r="H55" s="91">
        <f t="shared" ref="H55" si="246">H38*X55</f>
        <v>1310.5254170796786</v>
      </c>
      <c r="I55" s="91">
        <f t="shared" ref="I55" si="247">I38*Y55</f>
        <v>1511.1719873644502</v>
      </c>
      <c r="J55" s="91">
        <f t="shared" ref="J55" si="248">J38*Z55</f>
        <v>1745.0242213371848</v>
      </c>
      <c r="K55" s="91">
        <f t="shared" ref="K55" si="249">K38*AA55</f>
        <v>2017.9671080480146</v>
      </c>
      <c r="L55" s="91">
        <f t="shared" ref="L55" si="250">L38*AB55</f>
        <v>2336.9948416599809</v>
      </c>
      <c r="M55" s="91">
        <f t="shared" ref="M55" si="251">M38*AC55</f>
        <v>2710.4319504072505</v>
      </c>
      <c r="N55" s="91">
        <f t="shared" ref="N55" si="252">N38*AD55</f>
        <v>3148.2008486044178</v>
      </c>
      <c r="O55" s="91">
        <f t="shared" ref="O55" si="253">O38*AE55</f>
        <v>3662.1460373422151</v>
      </c>
      <c r="P55" s="91">
        <f t="shared" ref="P55" si="254">P38*AF55</f>
        <v>4266.4275355087593</v>
      </c>
      <c r="Q55" s="91">
        <f t="shared" ref="Q55" si="255">Q38*AG55</f>
        <v>4977.9990450732539</v>
      </c>
      <c r="R55" s="78">
        <f>RATE(12,,-E55,Q55)</f>
        <v>0.15734601888255387</v>
      </c>
      <c r="S55" s="61" t="s">
        <v>28</v>
      </c>
      <c r="T55" s="12">
        <v>0.40099999999999997</v>
      </c>
      <c r="U55" s="12">
        <v>0.40265090533119946</v>
      </c>
      <c r="V55" s="12">
        <v>0.40430860739160734</v>
      </c>
      <c r="W55" s="12">
        <v>0.40597313416316017</v>
      </c>
      <c r="X55" s="12">
        <v>0.40764451374299493</v>
      </c>
      <c r="Y55" s="12">
        <v>0.40932277434392395</v>
      </c>
      <c r="Z55" s="12">
        <v>0.41100794429491083</v>
      </c>
      <c r="AA55" s="12">
        <v>0.4127000520415488</v>
      </c>
      <c r="AB55" s="12">
        <v>0.41439912614654062</v>
      </c>
      <c r="AC55" s="12">
        <v>0.41610519529018092</v>
      </c>
      <c r="AD55" s="12">
        <v>0.41781828827084017</v>
      </c>
      <c r="AE55" s="12">
        <v>0.4195384340054511</v>
      </c>
      <c r="AF55" s="12">
        <v>0.4212656615299965</v>
      </c>
      <c r="AG55" s="12">
        <v>0.42299999999999938</v>
      </c>
    </row>
    <row r="56" spans="1:33" x14ac:dyDescent="0.25">
      <c r="A56" s="114"/>
      <c r="B56" s="62" t="s">
        <v>29</v>
      </c>
      <c r="C56" s="47"/>
      <c r="D56" s="97">
        <f>D38*T56</f>
        <v>807.93910797600006</v>
      </c>
      <c r="E56" s="97">
        <f t="shared" ref="E56" si="256">E38*U56</f>
        <v>924.4568768293293</v>
      </c>
      <c r="F56" s="97">
        <f t="shared" ref="F56" si="257">F38*V56</f>
        <v>1059.2306090398129</v>
      </c>
      <c r="G56" s="97">
        <f t="shared" ref="G56" si="258">G38*W56</f>
        <v>1215.3349126253861</v>
      </c>
      <c r="H56" s="97">
        <f t="shared" ref="H56" si="259">H38*X56</f>
        <v>1396.3966837801572</v>
      </c>
      <c r="I56" s="97">
        <f t="shared" ref="I56" si="260">I38*Y56</f>
        <v>1606.7002846596167</v>
      </c>
      <c r="J56" s="97">
        <f t="shared" ref="J56" si="261">J38*Z56</f>
        <v>1851.3138549455798</v>
      </c>
      <c r="K56" s="97">
        <f t="shared" ref="K56" si="262">K38*AA56</f>
        <v>2136.2412200129788</v>
      </c>
      <c r="L56" s="97">
        <f t="shared" ref="L56" si="263">L38*AB56</f>
        <v>2468.604845667352</v>
      </c>
      <c r="M56" s="97">
        <f t="shared" ref="M56" si="264">M38*AC56</f>
        <v>2856.8665046372353</v>
      </c>
      <c r="N56" s="97">
        <f t="shared" ref="N56" si="265">N38*AD56</f>
        <v>3311.0938181931979</v>
      </c>
      <c r="O56" s="97">
        <f t="shared" ref="O56" si="266">O38*AE56</f>
        <v>3843.2826860704886</v>
      </c>
      <c r="P56" s="97">
        <f t="shared" ref="P56" si="267">P38*AF56</f>
        <v>4467.7479052525896</v>
      </c>
      <c r="Q56" s="97">
        <f t="shared" ref="Q56" si="268">Q38*AG56</f>
        <v>5201.5971109276197</v>
      </c>
      <c r="R56" s="83">
        <f>RATE(12,,-E56,Q56)</f>
        <v>0.15483739337161584</v>
      </c>
      <c r="S56" s="62" t="s">
        <v>29</v>
      </c>
      <c r="T56" s="12">
        <v>0.43099999999999999</v>
      </c>
      <c r="U56" s="12">
        <v>0.43183634674261745</v>
      </c>
      <c r="V56" s="12">
        <v>0.43267431639909548</v>
      </c>
      <c r="W56" s="12">
        <v>0.43351391211866536</v>
      </c>
      <c r="X56" s="12">
        <v>0.43435513705666956</v>
      </c>
      <c r="Y56" s="12">
        <v>0.43519799437457324</v>
      </c>
      <c r="Z56" s="12">
        <v>0.43604248723997657</v>
      </c>
      <c r="AA56" s="12">
        <v>0.43688861882662616</v>
      </c>
      <c r="AB56" s="12">
        <v>0.43773639231442729</v>
      </c>
      <c r="AC56" s="12">
        <v>0.43858581088945586</v>
      </c>
      <c r="AD56" s="12">
        <v>0.43943687774397006</v>
      </c>
      <c r="AE56" s="12">
        <v>0.44028959607642287</v>
      </c>
      <c r="AF56" s="12">
        <v>0.44114396909147369</v>
      </c>
      <c r="AG56" s="12">
        <v>0.44200000000000028</v>
      </c>
    </row>
    <row r="57" spans="1:33" ht="15.75" thickBot="1" x14ac:dyDescent="0.3">
      <c r="A57" s="115"/>
      <c r="B57" s="63" t="s">
        <v>30</v>
      </c>
      <c r="C57" s="51"/>
      <c r="D57" s="92">
        <f>D38*T57</f>
        <v>314.9275409280001</v>
      </c>
      <c r="E57" s="92">
        <f t="shared" ref="E57" si="269">E38*U57</f>
        <v>354.32264833065511</v>
      </c>
      <c r="F57" s="92">
        <f t="shared" ref="F57" si="270">F38*V57</f>
        <v>399.08233600302606</v>
      </c>
      <c r="G57" s="92">
        <f t="shared" ref="G57" si="271">G38*W57</f>
        <v>449.99016439620493</v>
      </c>
      <c r="H57" s="92">
        <f t="shared" ref="H57" si="272">H38*X57</f>
        <v>507.95108618841977</v>
      </c>
      <c r="I57" s="92">
        <f t="shared" ref="I57" si="273">I38*Y57</f>
        <v>574.01120498648163</v>
      </c>
      <c r="J57" s="92">
        <f t="shared" ref="J57" si="274">J38*Z57</f>
        <v>649.3808825826053</v>
      </c>
      <c r="K57" s="92">
        <f t="shared" ref="K57" si="275">K38*AA57</f>
        <v>735.46177996422773</v>
      </c>
      <c r="L57" s="92">
        <f t="shared" ref="L57" si="276">L38*AB57</f>
        <v>833.87852149873606</v>
      </c>
      <c r="M57" s="92">
        <f t="shared" ref="M57" si="277">M38*AC57</f>
        <v>946.51579453984311</v>
      </c>
      <c r="N57" s="92">
        <f t="shared" ref="N57" si="278">N38*AD57</f>
        <v>1075.56184135905</v>
      </c>
      <c r="O57" s="92">
        <f t="shared" ref="O57" si="279">O38*AE57</f>
        <v>1223.5594705381579</v>
      </c>
      <c r="P57" s="92">
        <f t="shared" ref="P57" si="280">P38*AF57</f>
        <v>1393.4659150840425</v>
      </c>
      <c r="Q57" s="92">
        <f t="shared" ref="Q57" si="281">Q38*AG57</f>
        <v>1588.7230994914705</v>
      </c>
      <c r="R57" s="79">
        <f>RATE(12,,-E57,Q57)</f>
        <v>0.13319358693801486</v>
      </c>
      <c r="S57" s="63" t="s">
        <v>30</v>
      </c>
      <c r="T57" s="12">
        <f>1-SUM(T55:T56)</f>
        <v>0.16800000000000004</v>
      </c>
      <c r="U57" s="12">
        <f t="shared" ref="U57" si="282">1-SUM(U55:U56)</f>
        <v>0.16551274792618309</v>
      </c>
      <c r="V57" s="12">
        <f t="shared" ref="V57" si="283">1-SUM(V55:V56)</f>
        <v>0.16301707620929717</v>
      </c>
      <c r="W57" s="12">
        <f t="shared" ref="W57" si="284">1-SUM(W55:W56)</f>
        <v>0.16051295371817442</v>
      </c>
      <c r="X57" s="12">
        <f t="shared" ref="X57" si="285">1-SUM(X55:X56)</f>
        <v>0.15800034920033545</v>
      </c>
      <c r="Y57" s="12">
        <f t="shared" ref="Y57" si="286">1-SUM(Y55:Y56)</f>
        <v>0.15547923128150276</v>
      </c>
      <c r="Z57" s="12">
        <f t="shared" ref="Z57" si="287">1-SUM(Z55:Z56)</f>
        <v>0.15294956846511254</v>
      </c>
      <c r="AA57" s="12">
        <f t="shared" ref="AA57" si="288">1-SUM(AA55:AA56)</f>
        <v>0.15041132913182498</v>
      </c>
      <c r="AB57" s="12">
        <f t="shared" ref="AB57" si="289">1-SUM(AB55:AB56)</f>
        <v>0.14786448153903209</v>
      </c>
      <c r="AC57" s="12">
        <f t="shared" ref="AC57" si="290">1-SUM(AC55:AC56)</f>
        <v>0.14530899382036322</v>
      </c>
      <c r="AD57" s="12">
        <f t="shared" ref="AD57" si="291">1-SUM(AD55:AD56)</f>
        <v>0.14274483398518978</v>
      </c>
      <c r="AE57" s="12">
        <f t="shared" ref="AE57" si="292">1-SUM(AE55:AE56)</f>
        <v>0.14017196991812608</v>
      </c>
      <c r="AF57" s="12">
        <f t="shared" ref="AF57" si="293">1-SUM(AF55:AF56)</f>
        <v>0.13759036937852986</v>
      </c>
      <c r="AG57" s="12">
        <f t="shared" ref="AG57" si="294">1-SUM(AG55:AG56)</f>
        <v>0.13500000000000034</v>
      </c>
    </row>
    <row r="61" spans="1:33" ht="26.25" x14ac:dyDescent="0.4">
      <c r="A61" s="109" t="s">
        <v>53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70"/>
    </row>
    <row r="62" spans="1:33" ht="24" thickBot="1" x14ac:dyDescent="0.4">
      <c r="A62" s="70"/>
      <c r="B62" s="70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spans="1:33" ht="15.75" x14ac:dyDescent="0.25">
      <c r="A63" s="49"/>
      <c r="B63" s="50"/>
      <c r="C63" s="100"/>
      <c r="D63" s="98">
        <v>2023</v>
      </c>
      <c r="E63" s="72">
        <v>2024</v>
      </c>
      <c r="F63" s="72">
        <v>2025</v>
      </c>
      <c r="G63" s="72">
        <v>2026</v>
      </c>
      <c r="H63" s="72">
        <v>2027</v>
      </c>
      <c r="I63" s="72">
        <v>2028</v>
      </c>
      <c r="J63" s="72">
        <v>2029</v>
      </c>
      <c r="K63" s="72">
        <v>2030</v>
      </c>
      <c r="L63" s="72">
        <v>2031</v>
      </c>
      <c r="M63" s="72">
        <v>2032</v>
      </c>
      <c r="N63" s="72">
        <v>2033</v>
      </c>
      <c r="O63" s="72">
        <v>2034</v>
      </c>
      <c r="P63" s="72">
        <v>2035</v>
      </c>
      <c r="Q63" s="72">
        <v>2036</v>
      </c>
      <c r="R63" s="73" t="s">
        <v>13</v>
      </c>
    </row>
    <row r="64" spans="1:33" ht="16.5" thickBot="1" x14ac:dyDescent="0.3">
      <c r="A64" s="26"/>
      <c r="B64" s="101"/>
      <c r="C64" s="102"/>
      <c r="D64" s="99">
        <f>'Market Analysis'!C14</f>
        <v>115.41930400000011</v>
      </c>
      <c r="E64" s="99">
        <f>'Market Analysis'!D14</f>
        <v>130.65465212800015</v>
      </c>
      <c r="F64" s="99">
        <f>'Market Analysis'!E14</f>
        <v>148.00633800572118</v>
      </c>
      <c r="G64" s="99">
        <f>'Market Analysis'!F14</f>
        <v>167.78240752589795</v>
      </c>
      <c r="H64" s="99">
        <f>'Market Analysis'!G14</f>
        <v>190.33772562389638</v>
      </c>
      <c r="I64" s="99">
        <f>'Market Analysis'!H14</f>
        <v>216.08138484202564</v>
      </c>
      <c r="J64" s="99">
        <f>'Market Analysis'!I14</f>
        <v>245.48533138788832</v>
      </c>
      <c r="K64" s="99">
        <f>'Market Analysis'!J14</f>
        <v>279.09441602785716</v>
      </c>
      <c r="L64" s="99">
        <f>'Market Analysis'!K14</f>
        <v>317.53811368023395</v>
      </c>
      <c r="M64" s="99">
        <f>'Market Analysis'!L14</f>
        <v>361.54419873973569</v>
      </c>
      <c r="N64" s="99">
        <f>'Market Analysis'!M14</f>
        <v>411.9547142217308</v>
      </c>
      <c r="O64" s="99">
        <f>'Market Analysis'!N14</f>
        <v>469.74463324784341</v>
      </c>
      <c r="P64" s="99">
        <f>'Market Analysis'!O14</f>
        <v>536.0436829793482</v>
      </c>
      <c r="Q64" s="99">
        <f>'Market Analysis'!P14</f>
        <v>612.16188596241568</v>
      </c>
      <c r="R64" s="75">
        <f>RATE(12,,-E64,Q64)</f>
        <v>0.13735258064969341</v>
      </c>
      <c r="T64" s="72">
        <v>2023</v>
      </c>
      <c r="U64" s="72">
        <v>2024</v>
      </c>
      <c r="V64" s="72">
        <v>2025</v>
      </c>
      <c r="W64" s="72">
        <v>2026</v>
      </c>
      <c r="X64" s="72">
        <v>2027</v>
      </c>
      <c r="Y64" s="72">
        <v>2028</v>
      </c>
      <c r="Z64" s="72">
        <v>2029</v>
      </c>
      <c r="AA64" s="72">
        <v>2030</v>
      </c>
      <c r="AB64" s="72">
        <v>2031</v>
      </c>
      <c r="AC64" s="72">
        <v>2032</v>
      </c>
      <c r="AD64" s="72">
        <v>2033</v>
      </c>
      <c r="AE64" s="72">
        <v>2034</v>
      </c>
      <c r="AF64" s="72">
        <v>2035</v>
      </c>
      <c r="AG64" s="72">
        <v>2036</v>
      </c>
    </row>
    <row r="65" spans="1:33" x14ac:dyDescent="0.25">
      <c r="A65" s="110" t="s">
        <v>51</v>
      </c>
      <c r="B65" s="59" t="s">
        <v>34</v>
      </c>
      <c r="C65" s="52"/>
      <c r="D65" s="86">
        <f>D64*T65</f>
        <v>64.634810240000064</v>
      </c>
      <c r="E65" s="86">
        <f t="shared" ref="E65" si="295">E64*U65</f>
        <v>73.287018306050086</v>
      </c>
      <c r="F65" s="86">
        <f t="shared" ref="F65" si="296">F64*V65</f>
        <v>83.156583100431021</v>
      </c>
      <c r="G65" s="86">
        <f t="shared" ref="G65" si="297">G64*W65</f>
        <v>94.422803762442541</v>
      </c>
      <c r="H65" s="86">
        <f t="shared" ref="H65" si="298">H64*X65</f>
        <v>107.29253180706399</v>
      </c>
      <c r="I65" s="86">
        <f t="shared" ref="I65" si="299">I64*Y65</f>
        <v>122.00457609045711</v>
      </c>
      <c r="J65" s="86">
        <f t="shared" ref="J65" si="300">J64*Z65</f>
        <v>138.83483872526389</v>
      </c>
      <c r="K65" s="86">
        <f t="shared" ref="K65" si="301">K64*AA65</f>
        <v>158.10230757532491</v>
      </c>
      <c r="L65" s="86">
        <f t="shared" ref="L65" si="302">L64*AB65</f>
        <v>180.17605328310808</v>
      </c>
      <c r="M65" s="86">
        <f t="shared" ref="M65" si="303">M64*AC65</f>
        <v>205.48340520136708</v>
      </c>
      <c r="N65" s="86">
        <f t="shared" ref="N65" si="304">N64*AD65</f>
        <v>234.51951188745005</v>
      </c>
      <c r="O65" s="86">
        <f t="shared" ref="O65" si="305">O64*AE65</f>
        <v>267.85852889898899</v>
      </c>
      <c r="P65" s="86">
        <f t="shared" ref="P65" si="306">P64*AF65</f>
        <v>306.1667206089711</v>
      </c>
      <c r="Q65" s="86">
        <f t="shared" ref="Q65" si="307">Q64*AG65</f>
        <v>350.21781495909744</v>
      </c>
      <c r="R65" s="84">
        <f>RATE(12,,-E65,Q65)</f>
        <v>0.13922436581744801</v>
      </c>
      <c r="S65" s="59" t="s">
        <v>34</v>
      </c>
      <c r="T65" s="12">
        <v>0.56000000000000005</v>
      </c>
      <c r="U65" s="12">
        <v>0.56092161367703952</v>
      </c>
      <c r="V65" s="12">
        <v>0.56184474408938223</v>
      </c>
      <c r="W65" s="12">
        <v>0.56276939373317769</v>
      </c>
      <c r="X65" s="12">
        <v>0.56369556510868446</v>
      </c>
      <c r="Y65" s="12">
        <v>0.56462326072027491</v>
      </c>
      <c r="Z65" s="12">
        <v>0.56555248307644368</v>
      </c>
      <c r="AA65" s="12">
        <v>0.56648323468981299</v>
      </c>
      <c r="AB65" s="12">
        <v>0.56741551807714108</v>
      </c>
      <c r="AC65" s="12">
        <v>0.56834933575932756</v>
      </c>
      <c r="AD65" s="12">
        <v>0.56928469026142059</v>
      </c>
      <c r="AE65" s="12">
        <v>0.57022158411262425</v>
      </c>
      <c r="AF65" s="12">
        <v>0.57116001984630527</v>
      </c>
      <c r="AG65" s="12">
        <v>0.57209999999999905</v>
      </c>
    </row>
    <row r="66" spans="1:33" ht="15.75" thickBot="1" x14ac:dyDescent="0.3">
      <c r="A66" s="111"/>
      <c r="B66" s="60" t="s">
        <v>35</v>
      </c>
      <c r="C66" s="53"/>
      <c r="D66" s="87">
        <f>D64*T66</f>
        <v>50.784493760000039</v>
      </c>
      <c r="E66" s="87">
        <f t="shared" ref="E66" si="308">E64*U66</f>
        <v>57.367633821950058</v>
      </c>
      <c r="F66" s="87">
        <f t="shared" ref="F66" si="309">F64*V66</f>
        <v>64.849754905290155</v>
      </c>
      <c r="G66" s="87">
        <f t="shared" ref="G66" si="310">G64*W66</f>
        <v>73.359603763455411</v>
      </c>
      <c r="H66" s="87">
        <f t="shared" ref="H66" si="311">H64*X66</f>
        <v>83.045193816832381</v>
      </c>
      <c r="I66" s="87">
        <f t="shared" ref="I66" si="312">I64*Y66</f>
        <v>94.076808751568535</v>
      </c>
      <c r="J66" s="87">
        <f t="shared" ref="J66" si="313">J64*Z66</f>
        <v>106.65049266262444</v>
      </c>
      <c r="K66" s="87">
        <f t="shared" ref="K66" si="314">K64*AA66</f>
        <v>120.99210845253225</v>
      </c>
      <c r="L66" s="87">
        <f t="shared" ref="L66" si="315">L64*AB66</f>
        <v>137.36206039712587</v>
      </c>
      <c r="M66" s="87">
        <f t="shared" ref="M66" si="316">M64*AC66</f>
        <v>156.06079353836861</v>
      </c>
      <c r="N66" s="87">
        <f t="shared" ref="N66" si="317">N64*AD66</f>
        <v>177.43520233428075</v>
      </c>
      <c r="O66" s="87">
        <f t="shared" ref="O66" si="318">O64*AE66</f>
        <v>201.88610434885445</v>
      </c>
      <c r="P66" s="87">
        <f t="shared" ref="P66" si="319">P64*AF66</f>
        <v>229.87696237037713</v>
      </c>
      <c r="Q66" s="87">
        <f t="shared" ref="Q66" si="320">Q64*AG66</f>
        <v>261.94407100331824</v>
      </c>
      <c r="R66" s="85">
        <f>RATE(12,,-E66,Q66)</f>
        <v>0.13491099364303277</v>
      </c>
      <c r="S66" s="60" t="s">
        <v>35</v>
      </c>
      <c r="T66" s="12">
        <f>1-T65</f>
        <v>0.43999999999999995</v>
      </c>
      <c r="U66" s="12">
        <f t="shared" ref="U66" si="321">1-U65</f>
        <v>0.43907838632296048</v>
      </c>
      <c r="V66" s="12">
        <f t="shared" ref="V66" si="322">1-V65</f>
        <v>0.43815525591061777</v>
      </c>
      <c r="W66" s="12">
        <f t="shared" ref="W66" si="323">1-W65</f>
        <v>0.43723060626682231</v>
      </c>
      <c r="X66" s="12">
        <f t="shared" ref="X66" si="324">1-X65</f>
        <v>0.43630443489131554</v>
      </c>
      <c r="Y66" s="12">
        <f t="shared" ref="Y66" si="325">1-Y65</f>
        <v>0.43537673927972509</v>
      </c>
      <c r="Z66" s="12">
        <f t="shared" ref="Z66" si="326">1-Z65</f>
        <v>0.43444751692355632</v>
      </c>
      <c r="AA66" s="12">
        <f t="shared" ref="AA66" si="327">1-AA65</f>
        <v>0.43351676531018701</v>
      </c>
      <c r="AB66" s="12">
        <f t="shared" ref="AB66" si="328">1-AB65</f>
        <v>0.43258448192285892</v>
      </c>
      <c r="AC66" s="12">
        <f t="shared" ref="AC66" si="329">1-AC65</f>
        <v>0.43165066424067244</v>
      </c>
      <c r="AD66" s="12">
        <f t="shared" ref="AD66" si="330">1-AD65</f>
        <v>0.43071530973857941</v>
      </c>
      <c r="AE66" s="12">
        <f t="shared" ref="AE66" si="331">1-AE65</f>
        <v>0.42977841588737575</v>
      </c>
      <c r="AF66" s="12">
        <f t="shared" ref="AF66" si="332">1-AF65</f>
        <v>0.42883998015369473</v>
      </c>
      <c r="AG66" s="12">
        <f t="shared" ref="AG66" si="333">1-AG65</f>
        <v>0.42790000000000095</v>
      </c>
    </row>
    <row r="67" spans="1:33" ht="15.75" thickBot="1" x14ac:dyDescent="0.3">
      <c r="A67" s="1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21"/>
    </row>
    <row r="68" spans="1:33" x14ac:dyDescent="0.25">
      <c r="A68" s="110" t="s">
        <v>15</v>
      </c>
      <c r="B68" s="64" t="s">
        <v>16</v>
      </c>
      <c r="C68" s="54"/>
      <c r="D68" s="89">
        <f>D64*T68</f>
        <v>54.36249218400004</v>
      </c>
      <c r="E68" s="89">
        <f t="shared" ref="E68" si="334">E64*U68</f>
        <v>61.457938289440065</v>
      </c>
      <c r="F68" s="89">
        <f t="shared" ref="F68" si="335">F64*V68</f>
        <v>69.5288235539184</v>
      </c>
      <c r="G68" s="89">
        <f t="shared" ref="G68" si="336">G64*W68</f>
        <v>78.715761807727034</v>
      </c>
      <c r="H68" s="89">
        <f t="shared" ref="H68" si="337">H64*X68</f>
        <v>89.180545136550208</v>
      </c>
      <c r="I68" s="89">
        <f t="shared" ref="I68" si="338">I64*Y68</f>
        <v>101.10946646108015</v>
      </c>
      <c r="J68" s="89">
        <f t="shared" ref="J68" si="339">J64*Z68</f>
        <v>114.71718370626319</v>
      </c>
      <c r="K68" s="89">
        <f t="shared" ref="K68" si="340">K64*AA68</f>
        <v>130.25121708007762</v>
      </c>
      <c r="L68" s="89">
        <f t="shared" ref="L68" si="341">L64*AB68</f>
        <v>147.99718698373366</v>
      </c>
      <c r="M68" s="89">
        <f t="shared" ref="M68" si="342">M64*AC68</f>
        <v>168.28491896724157</v>
      </c>
      <c r="N68" s="89">
        <f t="shared" ref="N68" si="343">N64*AD68</f>
        <v>191.49556446476299</v>
      </c>
      <c r="O68" s="89">
        <f t="shared" ref="O68" si="344">O64*AE68</f>
        <v>218.06991243467192</v>
      </c>
      <c r="P68" s="89">
        <f t="shared" ref="P68" si="345">P64*AF68</f>
        <v>248.51809825511782</v>
      </c>
      <c r="Q68" s="89">
        <f t="shared" ref="Q68" si="346">Q64*AG68</f>
        <v>283.43095320059842</v>
      </c>
      <c r="R68" s="76">
        <f>RATE(12,,-E68,Q68)</f>
        <v>0.13585381453961337</v>
      </c>
      <c r="S68" s="64" t="s">
        <v>16</v>
      </c>
      <c r="T68" s="12">
        <v>0.47099999999999992</v>
      </c>
      <c r="U68" s="12">
        <v>0.47038461538461535</v>
      </c>
      <c r="V68" s="12">
        <v>0.46976923076923072</v>
      </c>
      <c r="W68" s="12">
        <v>0.46915384615384609</v>
      </c>
      <c r="X68" s="12">
        <v>0.46853846153846151</v>
      </c>
      <c r="Y68" s="12">
        <v>0.46792307692307689</v>
      </c>
      <c r="Z68" s="12">
        <v>0.46730769230769226</v>
      </c>
      <c r="AA68" s="12">
        <v>0.46669230769230763</v>
      </c>
      <c r="AB68" s="12">
        <v>0.46607692307692306</v>
      </c>
      <c r="AC68" s="12">
        <v>0.46546153846153843</v>
      </c>
      <c r="AD68" s="12">
        <v>0.4648461538461538</v>
      </c>
      <c r="AE68" s="12">
        <v>0.46423076923076922</v>
      </c>
      <c r="AF68" s="12">
        <v>0.4636153846153846</v>
      </c>
      <c r="AG68" s="12">
        <v>0.46299999999999997</v>
      </c>
    </row>
    <row r="69" spans="1:33" ht="15.75" thickBot="1" x14ac:dyDescent="0.3">
      <c r="A69" s="111"/>
      <c r="B69" s="65" t="s">
        <v>17</v>
      </c>
      <c r="C69" s="55"/>
      <c r="D69" s="90">
        <f>D64*T69</f>
        <v>61.056811816000071</v>
      </c>
      <c r="E69" s="90">
        <f t="shared" ref="E69" si="347">E64*U69</f>
        <v>69.196713838560072</v>
      </c>
      <c r="F69" s="90">
        <f t="shared" ref="F69" si="348">F64*V69</f>
        <v>78.477514451802776</v>
      </c>
      <c r="G69" s="90">
        <f t="shared" ref="G69" si="349">G64*W69</f>
        <v>89.066645718170932</v>
      </c>
      <c r="H69" s="90">
        <f t="shared" ref="H69" si="350">H64*X69</f>
        <v>101.15718048734615</v>
      </c>
      <c r="I69" s="90">
        <f t="shared" ref="I69" si="351">I64*Y69</f>
        <v>114.9719183809455</v>
      </c>
      <c r="J69" s="90">
        <f t="shared" ref="J69" si="352">J64*Z69</f>
        <v>130.76814768162515</v>
      </c>
      <c r="K69" s="90">
        <f t="shared" ref="K69" si="353">K64*AA69</f>
        <v>148.84319894777954</v>
      </c>
      <c r="L69" s="90">
        <f t="shared" ref="L69" si="354">L64*AB69</f>
        <v>169.54092669650029</v>
      </c>
      <c r="M69" s="90">
        <f t="shared" ref="M69" si="355">M64*AC69</f>
        <v>193.25927977249412</v>
      </c>
      <c r="N69" s="90">
        <f t="shared" ref="N69" si="356">N64*AD69</f>
        <v>220.4591497569678</v>
      </c>
      <c r="O69" s="90">
        <f t="shared" ref="O69" si="357">O64*AE69</f>
        <v>251.67472081317149</v>
      </c>
      <c r="P69" s="90">
        <f t="shared" ref="P69" si="358">P64*AF69</f>
        <v>287.52558472423044</v>
      </c>
      <c r="Q69" s="90">
        <f t="shared" ref="Q69" si="359">Q64*AG69</f>
        <v>328.73093276181726</v>
      </c>
      <c r="R69" s="77">
        <f>RATE(12,,-E69,Q69)</f>
        <v>0.13866575211784812</v>
      </c>
      <c r="S69" s="65" t="s">
        <v>17</v>
      </c>
      <c r="T69" s="12">
        <f>1-T68</f>
        <v>0.52900000000000014</v>
      </c>
      <c r="U69" s="12">
        <f t="shared" ref="U69" si="360">1-U68</f>
        <v>0.5296153846153846</v>
      </c>
      <c r="V69" s="12">
        <f t="shared" ref="V69" si="361">1-V68</f>
        <v>0.53023076923076928</v>
      </c>
      <c r="W69" s="12">
        <f t="shared" ref="W69" si="362">1-W68</f>
        <v>0.53084615384615397</v>
      </c>
      <c r="X69" s="12">
        <f t="shared" ref="X69" si="363">1-X68</f>
        <v>0.53146153846153843</v>
      </c>
      <c r="Y69" s="12">
        <f t="shared" ref="Y69" si="364">1-Y68</f>
        <v>0.53207692307692311</v>
      </c>
      <c r="Z69" s="12">
        <f t="shared" ref="Z69" si="365">1-Z68</f>
        <v>0.5326923076923078</v>
      </c>
      <c r="AA69" s="12">
        <f t="shared" ref="AA69" si="366">1-AA68</f>
        <v>0.53330769230769237</v>
      </c>
      <c r="AB69" s="12">
        <f t="shared" ref="AB69" si="367">1-AB68</f>
        <v>0.53392307692307694</v>
      </c>
      <c r="AC69" s="12">
        <f t="shared" ref="AC69" si="368">1-AC68</f>
        <v>0.53453846153846163</v>
      </c>
      <c r="AD69" s="12">
        <f t="shared" ref="AD69" si="369">1-AD68</f>
        <v>0.5351538461538462</v>
      </c>
      <c r="AE69" s="12">
        <f t="shared" ref="AE69" si="370">1-AE68</f>
        <v>0.53576923076923078</v>
      </c>
      <c r="AF69" s="12">
        <f t="shared" ref="AF69" si="371">1-AF68</f>
        <v>0.53638461538461546</v>
      </c>
      <c r="AG69" s="12">
        <f t="shared" ref="AG69" si="372">1-AG68</f>
        <v>0.53700000000000003</v>
      </c>
    </row>
    <row r="70" spans="1:33" ht="15.75" thickBot="1" x14ac:dyDescent="0.3">
      <c r="A70" s="1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21"/>
    </row>
    <row r="71" spans="1:33" x14ac:dyDescent="0.25">
      <c r="A71" s="110" t="s">
        <v>18</v>
      </c>
      <c r="B71" s="61" t="s">
        <v>19</v>
      </c>
      <c r="C71" s="56"/>
      <c r="D71" s="91">
        <f>D64*T71</f>
        <v>46.283140904000042</v>
      </c>
      <c r="E71" s="91">
        <f t="shared" ref="E71" si="373">E64*U71</f>
        <v>52.608213965072189</v>
      </c>
      <c r="F71" s="91">
        <f t="shared" ref="F71" si="374">F64*V71</f>
        <v>59.840236404224655</v>
      </c>
      <c r="G71" s="91">
        <f t="shared" ref="G71" si="375">G64*W71</f>
        <v>68.115149840729387</v>
      </c>
      <c r="H71" s="91">
        <f t="shared" ref="H71" si="376">H64*X71</f>
        <v>77.590129608900824</v>
      </c>
      <c r="I71" s="91">
        <f t="shared" ref="I71" si="377">I64*Y71</f>
        <v>88.447031927615043</v>
      </c>
      <c r="J71" s="91">
        <f t="shared" ref="J71" si="378">J64*Z71</f>
        <v>100.89642140829093</v>
      </c>
      <c r="K71" s="91">
        <f t="shared" ref="K71" si="379">K64*AA71</f>
        <v>115.18228001920232</v>
      </c>
      <c r="L71" s="91">
        <f t="shared" ref="L71" si="380">L64*AB71</f>
        <v>131.58751682730983</v>
      </c>
      <c r="M71" s="91">
        <f t="shared" ref="M71" si="381">M64*AC71</f>
        <v>150.4404194226297</v>
      </c>
      <c r="N71" s="91">
        <f t="shared" ref="N71" si="382">N64*AD71</f>
        <v>172.1222135412267</v>
      </c>
      <c r="O71" s="91">
        <f t="shared" ref="O71" si="383">O64*AE71</f>
        <v>197.07592781526517</v>
      </c>
      <c r="P71" s="91">
        <f t="shared" ref="P71" si="384">P64*AF71</f>
        <v>225.81679671927085</v>
      </c>
      <c r="Q71" s="91">
        <f t="shared" ref="Q71" si="385">Q64*AG71</f>
        <v>258.94447776210143</v>
      </c>
      <c r="R71" s="78">
        <f>RATE(12,,-E71,Q71)</f>
        <v>0.142035028128114</v>
      </c>
      <c r="S71" s="61" t="s">
        <v>19</v>
      </c>
      <c r="T71" s="12">
        <v>0.40099999999999997</v>
      </c>
      <c r="U71" s="12">
        <v>0.40265090533119946</v>
      </c>
      <c r="V71" s="12">
        <v>0.40430860739160734</v>
      </c>
      <c r="W71" s="12">
        <v>0.40597313416316017</v>
      </c>
      <c r="X71" s="12">
        <v>0.40764451374299493</v>
      </c>
      <c r="Y71" s="12">
        <v>0.40932277434392395</v>
      </c>
      <c r="Z71" s="12">
        <v>0.41100794429491083</v>
      </c>
      <c r="AA71" s="12">
        <v>0.4127000520415488</v>
      </c>
      <c r="AB71" s="12">
        <v>0.41439912614654062</v>
      </c>
      <c r="AC71" s="12">
        <v>0.41610519529018092</v>
      </c>
      <c r="AD71" s="12">
        <v>0.41781828827084017</v>
      </c>
      <c r="AE71" s="12">
        <v>0.4195384340054511</v>
      </c>
      <c r="AF71" s="12">
        <v>0.4212656615299965</v>
      </c>
      <c r="AG71" s="12">
        <v>0.42299999999999938</v>
      </c>
    </row>
    <row r="72" spans="1:33" ht="15.75" thickBot="1" x14ac:dyDescent="0.3">
      <c r="A72" s="111"/>
      <c r="B72" s="63" t="s">
        <v>20</v>
      </c>
      <c r="C72" s="51"/>
      <c r="D72" s="92">
        <f>D64*T72</f>
        <v>69.136163096000061</v>
      </c>
      <c r="E72" s="92">
        <f t="shared" ref="E72" si="386">E64*U72</f>
        <v>78.046438162927956</v>
      </c>
      <c r="F72" s="92">
        <f t="shared" ref="F72" si="387">F64*V72</f>
        <v>88.166101601496521</v>
      </c>
      <c r="G72" s="92">
        <f t="shared" ref="G72" si="388">G64*W72</f>
        <v>99.667257685168565</v>
      </c>
      <c r="H72" s="92">
        <f t="shared" ref="H72" si="389">H64*X72</f>
        <v>112.74759601499555</v>
      </c>
      <c r="I72" s="92">
        <f t="shared" ref="I72" si="390">I64*Y72</f>
        <v>127.6343529144106</v>
      </c>
      <c r="J72" s="92">
        <f t="shared" ref="J72" si="391">J64*Z72</f>
        <v>144.58890997959739</v>
      </c>
      <c r="K72" s="92">
        <f t="shared" ref="K72" si="392">K64*AA72</f>
        <v>163.91213600865484</v>
      </c>
      <c r="L72" s="92">
        <f t="shared" ref="L72" si="393">L64*AB72</f>
        <v>185.95059685292412</v>
      </c>
      <c r="M72" s="92">
        <f t="shared" ref="M72" si="394">M64*AC72</f>
        <v>211.10377931710602</v>
      </c>
      <c r="N72" s="92">
        <f t="shared" ref="N72" si="395">N64*AD72</f>
        <v>239.83250068050413</v>
      </c>
      <c r="O72" s="92">
        <f t="shared" ref="O72" si="396">O64*AE72</f>
        <v>272.66870543257824</v>
      </c>
      <c r="P72" s="92">
        <f t="shared" ref="P72" si="397">P64*AF72</f>
        <v>310.22688626007732</v>
      </c>
      <c r="Q72" s="92">
        <f t="shared" ref="Q72" si="398">Q64*AG72</f>
        <v>353.21740820031425</v>
      </c>
      <c r="R72" s="79">
        <f>RATE(12,,-E72,Q72)</f>
        <v>0.13407232129849267</v>
      </c>
      <c r="S72" s="63" t="s">
        <v>20</v>
      </c>
      <c r="T72" s="12">
        <f>1-T71</f>
        <v>0.59899999999999998</v>
      </c>
      <c r="U72" s="12">
        <f t="shared" ref="U72" si="399">1-U71</f>
        <v>0.59734909466880048</v>
      </c>
      <c r="V72" s="12">
        <f t="shared" ref="V72" si="400">1-V71</f>
        <v>0.59569139260839266</v>
      </c>
      <c r="W72" s="12">
        <f t="shared" ref="W72" si="401">1-W71</f>
        <v>0.59402686583683983</v>
      </c>
      <c r="X72" s="12">
        <f t="shared" ref="X72" si="402">1-X71</f>
        <v>0.59235548625700507</v>
      </c>
      <c r="Y72" s="12">
        <f t="shared" ref="Y72" si="403">1-Y71</f>
        <v>0.59067722565607605</v>
      </c>
      <c r="Z72" s="12">
        <f t="shared" ref="Z72" si="404">1-Z71</f>
        <v>0.58899205570508917</v>
      </c>
      <c r="AA72" s="12">
        <f t="shared" ref="AA72" si="405">1-AA71</f>
        <v>0.5872999479584512</v>
      </c>
      <c r="AB72" s="12">
        <f t="shared" ref="AB72" si="406">1-AB71</f>
        <v>0.58560087385345938</v>
      </c>
      <c r="AC72" s="12">
        <f t="shared" ref="AC72" si="407">1-AC71</f>
        <v>0.58389480470981914</v>
      </c>
      <c r="AD72" s="12">
        <f t="shared" ref="AD72" si="408">1-AD71</f>
        <v>0.58218171172915989</v>
      </c>
      <c r="AE72" s="12">
        <f t="shared" ref="AE72" si="409">1-AE71</f>
        <v>0.5804615659945489</v>
      </c>
      <c r="AF72" s="12">
        <f t="shared" ref="AF72" si="410">1-AF71</f>
        <v>0.57873433847000344</v>
      </c>
      <c r="AG72" s="12">
        <f t="shared" ref="AG72" si="411">1-AG71</f>
        <v>0.57700000000000062</v>
      </c>
    </row>
    <row r="73" spans="1:33" ht="15.75" thickBot="1" x14ac:dyDescent="0.3">
      <c r="A73" s="2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21"/>
    </row>
    <row r="74" spans="1:33" x14ac:dyDescent="0.25">
      <c r="A74" s="110" t="s">
        <v>14</v>
      </c>
      <c r="B74" s="66" t="s">
        <v>21</v>
      </c>
      <c r="C74" s="57"/>
      <c r="D74" s="93">
        <f>D64*T74</f>
        <v>28.854826000000028</v>
      </c>
      <c r="E74" s="93">
        <f t="shared" ref="E74" si="412">E64*U74</f>
        <v>32.866953229515715</v>
      </c>
      <c r="F74" s="93">
        <f t="shared" ref="F74" si="413">F64*V74</f>
        <v>37.463594355699406</v>
      </c>
      <c r="G74" s="93">
        <f t="shared" ref="G74" si="414">G64*W74</f>
        <v>42.733662035709408</v>
      </c>
      <c r="H74" s="93">
        <f t="shared" ref="H74" si="415">H64*X74</f>
        <v>48.780149265082706</v>
      </c>
      <c r="I74" s="93">
        <f t="shared" ref="I74" si="416">I64*Y74</f>
        <v>55.72244497790583</v>
      </c>
      <c r="J74" s="93">
        <f t="shared" ref="J74" si="417">J64*Z74</f>
        <v>63.699044269795586</v>
      </c>
      <c r="K74" s="93">
        <f t="shared" ref="K74" si="418">K64*AA74</f>
        <v>72.870722802705615</v>
      </c>
      <c r="L74" s="93">
        <f t="shared" ref="L74" si="419">L64*AB74</f>
        <v>83.424257611260998</v>
      </c>
      <c r="M74" s="93">
        <f t="shared" ref="M74" si="420">M64*AC74</f>
        <v>95.576791567042704</v>
      </c>
      <c r="N74" s="93">
        <f t="shared" ref="N74" si="421">N64*AD74</f>
        <v>109.58095662915638</v>
      </c>
      <c r="O74" s="93">
        <f t="shared" ref="O74" si="422">O64*AE74</f>
        <v>125.73089226694179</v>
      </c>
      <c r="P74" s="93">
        <f t="shared" ref="P74" si="423">P64*AF74</f>
        <v>144.36932074412431</v>
      </c>
      <c r="Q74" s="93">
        <f t="shared" ref="Q74" si="424">Q64*AG74</f>
        <v>165.89587109581473</v>
      </c>
      <c r="R74" s="80">
        <f t="shared" ref="R74:R79" si="425">RATE(12,,-E74,Q74)</f>
        <v>0.14443116918822707</v>
      </c>
      <c r="S74" s="66" t="s">
        <v>21</v>
      </c>
      <c r="T74" s="12">
        <v>0.25</v>
      </c>
      <c r="U74" s="12">
        <v>0.25155593539307364</v>
      </c>
      <c r="V74" s="12">
        <v>0.25312155452593693</v>
      </c>
      <c r="W74" s="12">
        <v>0.25469691766768382</v>
      </c>
      <c r="X74" s="12">
        <v>0.25628208546250747</v>
      </c>
      <c r="Y74" s="12">
        <v>0.2578771189320348</v>
      </c>
      <c r="Z74" s="12">
        <v>0.25948207947767565</v>
      </c>
      <c r="AA74" s="12">
        <v>0.2610970288829863</v>
      </c>
      <c r="AB74" s="12">
        <v>0.26272202931604799</v>
      </c>
      <c r="AC74" s="12">
        <v>0.26435714333185978</v>
      </c>
      <c r="AD74" s="12">
        <v>0.26600243387474731</v>
      </c>
      <c r="AE74" s="12">
        <v>0.26765796428078514</v>
      </c>
      <c r="AF74" s="12">
        <v>0.26932379828023517</v>
      </c>
      <c r="AG74" s="12">
        <v>0.27100000000000013</v>
      </c>
    </row>
    <row r="75" spans="1:33" x14ac:dyDescent="0.25">
      <c r="A75" s="112"/>
      <c r="B75" s="67" t="s">
        <v>22</v>
      </c>
      <c r="C75" s="48"/>
      <c r="D75" s="94">
        <f>D64*T75</f>
        <v>43.859335520000045</v>
      </c>
      <c r="E75" s="94">
        <f t="shared" ref="E75" si="426">E64*U75</f>
        <v>49.767649089120809</v>
      </c>
      <c r="F75" s="94">
        <f t="shared" ref="F75" si="427">F64*V75</f>
        <v>56.512069691121837</v>
      </c>
      <c r="G75" s="94">
        <f t="shared" ref="G75" si="428">G64*W75</f>
        <v>64.216402660535593</v>
      </c>
      <c r="H75" s="94">
        <f t="shared" ref="H75" si="429">H64*X75</f>
        <v>73.02357292304923</v>
      </c>
      <c r="I75" s="94">
        <f t="shared" ref="I75" si="430">I64*Y75</f>
        <v>83.098696036323545</v>
      </c>
      <c r="J75" s="94">
        <f t="shared" ref="J75" si="431">J64*Z75</f>
        <v>94.632661075102519</v>
      </c>
      <c r="K75" s="94">
        <f t="shared" ref="K75" si="432">K64*AA75</f>
        <v>107.84631369872643</v>
      </c>
      <c r="L75" s="94">
        <f t="shared" ref="L75" si="433">L64*AB75</f>
        <v>122.99534349849347</v>
      </c>
      <c r="M75" s="94">
        <f t="shared" ref="M75" si="434">M64*AC75</f>
        <v>140.37599838310672</v>
      </c>
      <c r="N75" s="94">
        <f t="shared" ref="N75" si="435">N64*AD75</f>
        <v>160.33177087321764</v>
      </c>
      <c r="O75" s="94">
        <f t="shared" ref="O75" si="436">O64*AE75</f>
        <v>183.26122739885517</v>
      </c>
      <c r="P75" s="94">
        <f t="shared" ref="P75" si="437">P64*AF75</f>
        <v>209.62718281342936</v>
      </c>
      <c r="Q75" s="94">
        <f t="shared" ref="Q75" si="438">Q64*AG75</f>
        <v>239.96745929726697</v>
      </c>
      <c r="R75" s="81">
        <f t="shared" si="425"/>
        <v>0.14007590968913314</v>
      </c>
      <c r="S75" s="67" t="s">
        <v>22</v>
      </c>
      <c r="T75" s="12">
        <v>0.38</v>
      </c>
      <c r="U75" s="12">
        <v>0.38090988938047371</v>
      </c>
      <c r="V75" s="12">
        <v>0.38182195744169661</v>
      </c>
      <c r="W75" s="12">
        <v>0.38273620940040159</v>
      </c>
      <c r="X75" s="12">
        <v>0.38365265048581265</v>
      </c>
      <c r="Y75" s="12">
        <v>0.38457128593967477</v>
      </c>
      <c r="Z75" s="12">
        <v>0.38549212101628438</v>
      </c>
      <c r="AA75" s="12">
        <v>0.38641516098251855</v>
      </c>
      <c r="AB75" s="12">
        <v>0.38734041111786593</v>
      </c>
      <c r="AC75" s="12">
        <v>0.38826787671445667</v>
      </c>
      <c r="AD75" s="12">
        <v>0.38919756307709236</v>
      </c>
      <c r="AE75" s="12">
        <v>0.39012947552327681</v>
      </c>
      <c r="AF75" s="12">
        <v>0.3910636193832463</v>
      </c>
      <c r="AG75" s="12">
        <v>0.39200000000000002</v>
      </c>
    </row>
    <row r="76" spans="1:33" x14ac:dyDescent="0.25">
      <c r="A76" s="112"/>
      <c r="B76" s="68" t="s">
        <v>23</v>
      </c>
      <c r="C76" s="48"/>
      <c r="D76" s="95">
        <f>D75*T76</f>
        <v>15.35076743200001</v>
      </c>
      <c r="E76" s="95">
        <f t="shared" ref="E76" si="439">E75*U76</f>
        <v>17.388114065217369</v>
      </c>
      <c r="F76" s="95">
        <f t="shared" ref="F76" si="440">F75*V76</f>
        <v>19.709875338960973</v>
      </c>
      <c r="G76" s="95">
        <f t="shared" ref="G76" si="441">G75*W76</f>
        <v>22.357639411061086</v>
      </c>
      <c r="H76" s="95">
        <f t="shared" ref="H76" si="442">H75*X76</f>
        <v>25.379342269981159</v>
      </c>
      <c r="I76" s="95">
        <f t="shared" ref="I76" si="443">I75*Y76</f>
        <v>28.830276216357728</v>
      </c>
      <c r="J76" s="95">
        <f t="shared" ref="J76" si="444">J75*Z76</f>
        <v>32.774264697630358</v>
      </c>
      <c r="K76" s="95">
        <f t="shared" ref="K76" si="445">K75*AA76</f>
        <v>37.285031926728266</v>
      </c>
      <c r="L76" s="95">
        <f t="shared" ref="L76" si="446">L75*AB76</f>
        <v>42.447800740862327</v>
      </c>
      <c r="M76" s="95">
        <f t="shared" ref="M76" si="447">M75*AC76</f>
        <v>48.361158098558704</v>
      </c>
      <c r="N76" s="95">
        <f t="shared" ref="N76" si="448">N75*AD76</f>
        <v>55.139234644685665</v>
      </c>
      <c r="O76" s="95">
        <f t="shared" ref="O76" si="449">O75*AE76</f>
        <v>62.914253100308869</v>
      </c>
      <c r="P76" s="95">
        <f t="shared" ref="P76" si="450">P75*AF76</f>
        <v>71.839510102776273</v>
      </c>
      <c r="Q76" s="95">
        <f t="shared" ref="Q76" si="451">Q75*AG76</f>
        <v>82.092867825594979</v>
      </c>
      <c r="R76" s="81">
        <f t="shared" si="425"/>
        <v>0.13807551253580411</v>
      </c>
      <c r="S76" s="68" t="s">
        <v>23</v>
      </c>
      <c r="T76" s="74">
        <v>0.34999999999999987</v>
      </c>
      <c r="U76" s="74">
        <v>0.34938588387166564</v>
      </c>
      <c r="V76" s="74">
        <v>0.34877284528224306</v>
      </c>
      <c r="W76" s="74">
        <v>0.34816088234106346</v>
      </c>
      <c r="X76" s="74">
        <v>0.34754999316077562</v>
      </c>
      <c r="Y76" s="74">
        <v>0.34694017585733994</v>
      </c>
      <c r="Z76" s="74">
        <v>0.34633142855002247</v>
      </c>
      <c r="AA76" s="74">
        <v>0.34572374936138933</v>
      </c>
      <c r="AB76" s="74">
        <v>0.34511713641730069</v>
      </c>
      <c r="AC76" s="74">
        <v>0.34451158784690528</v>
      </c>
      <c r="AD76" s="74">
        <v>0.34390710178263434</v>
      </c>
      <c r="AE76" s="74">
        <v>0.34330367636019604</v>
      </c>
      <c r="AF76" s="74">
        <v>0.34270130971856966</v>
      </c>
      <c r="AG76" s="74">
        <v>0.34209999999999979</v>
      </c>
    </row>
    <row r="77" spans="1:33" x14ac:dyDescent="0.25">
      <c r="A77" s="112"/>
      <c r="B77" s="68" t="s">
        <v>24</v>
      </c>
      <c r="C77" s="48"/>
      <c r="D77" s="95">
        <f>D75*T77</f>
        <v>12.280613945600013</v>
      </c>
      <c r="E77" s="95">
        <f t="shared" ref="E77" si="452">E75*U77</f>
        <v>13.983673644904531</v>
      </c>
      <c r="F77" s="95">
        <f t="shared" ref="F77" si="453">F75*V77</f>
        <v>15.934244944407235</v>
      </c>
      <c r="G77" s="95">
        <f t="shared" ref="G77" si="454">G75*W77</f>
        <v>18.169893057988556</v>
      </c>
      <c r="H77" s="95">
        <f t="shared" ref="H77" si="455">H75*X77</f>
        <v>20.73411957045354</v>
      </c>
      <c r="I77" s="95">
        <f t="shared" ref="I77" si="456">I75*Y77</f>
        <v>23.677336781045216</v>
      </c>
      <c r="J77" s="95">
        <f t="shared" ref="J77" si="457">J75*Z77</f>
        <v>27.058007783771512</v>
      </c>
      <c r="K77" s="95">
        <f t="shared" ref="K77" si="458">K75*AA77</f>
        <v>30.943981446750627</v>
      </c>
      <c r="L77" s="95">
        <f t="shared" ref="L77" si="459">L75*AB77</f>
        <v>35.414056751749442</v>
      </c>
      <c r="M77" s="95">
        <f t="shared" ref="M77" si="460">M75*AC77</f>
        <v>40.559817246916104</v>
      </c>
      <c r="N77" s="95">
        <f t="shared" ref="N77" si="461">N75*AD77</f>
        <v>46.487783841962688</v>
      </c>
      <c r="O77" s="95">
        <f t="shared" ref="O77" si="462">O75*AE77</f>
        <v>53.321943065325698</v>
      </c>
      <c r="P77" s="95">
        <f t="shared" ref="P77" si="463">P75*AF77</f>
        <v>61.206718482478728</v>
      </c>
      <c r="Q77" s="95">
        <f t="shared" ref="Q77" si="464">Q75*AG77</f>
        <v>70.31046557409914</v>
      </c>
      <c r="R77" s="81">
        <f t="shared" si="425"/>
        <v>0.14406287039438129</v>
      </c>
      <c r="S77" s="68" t="s">
        <v>24</v>
      </c>
      <c r="T77" s="74">
        <v>0.28000000000000003</v>
      </c>
      <c r="U77" s="74">
        <v>0.28097918830490543</v>
      </c>
      <c r="V77" s="74">
        <v>0.28196180093029821</v>
      </c>
      <c r="W77" s="74">
        <v>0.28294784985137333</v>
      </c>
      <c r="X77" s="74">
        <v>0.28393734708520407</v>
      </c>
      <c r="Y77" s="74">
        <v>0.28493030469088876</v>
      </c>
      <c r="Z77" s="74">
        <v>0.28592673476969749</v>
      </c>
      <c r="AA77" s="74">
        <v>0.28692664946521995</v>
      </c>
      <c r="AB77" s="74">
        <v>0.28793006096351298</v>
      </c>
      <c r="AC77" s="74">
        <v>0.28893698149324931</v>
      </c>
      <c r="AD77" s="74">
        <v>0.28994742332586665</v>
      </c>
      <c r="AE77" s="74">
        <v>0.29096139877571725</v>
      </c>
      <c r="AF77" s="74">
        <v>0.29197892020021765</v>
      </c>
      <c r="AG77" s="74">
        <v>0.29299999999999965</v>
      </c>
    </row>
    <row r="78" spans="1:33" x14ac:dyDescent="0.25">
      <c r="A78" s="112"/>
      <c r="B78" s="68" t="s">
        <v>25</v>
      </c>
      <c r="C78" s="48"/>
      <c r="D78" s="95">
        <f>D75*T78</f>
        <v>16.227954142400023</v>
      </c>
      <c r="E78" s="95">
        <f t="shared" ref="E78" si="465">E75*U78</f>
        <v>18.395861378998912</v>
      </c>
      <c r="F78" s="95">
        <f t="shared" ref="F78" si="466">F75*V78</f>
        <v>20.867949407753628</v>
      </c>
      <c r="G78" s="95">
        <f t="shared" ref="G78" si="467">G75*W78</f>
        <v>23.68887019148595</v>
      </c>
      <c r="H78" s="95">
        <f t="shared" ref="H78" si="468">H75*X78</f>
        <v>26.910111082614527</v>
      </c>
      <c r="I78" s="95">
        <f t="shared" ref="I78" si="469">I75*Y78</f>
        <v>30.591083038920601</v>
      </c>
      <c r="J78" s="95">
        <f t="shared" ref="J78" si="470">J75*Z78</f>
        <v>34.800388593700646</v>
      </c>
      <c r="K78" s="95">
        <f t="shared" ref="K78" si="471">K75*AA78</f>
        <v>39.617300325247548</v>
      </c>
      <c r="L78" s="95">
        <f t="shared" ref="L78" si="472">L75*AB78</f>
        <v>45.133486005881707</v>
      </c>
      <c r="M78" s="95">
        <f t="shared" ref="M78" si="473">M75*AC78</f>
        <v>51.455023037631911</v>
      </c>
      <c r="N78" s="95">
        <f t="shared" ref="N78" si="474">N75*AD78</f>
        <v>58.704752386569268</v>
      </c>
      <c r="O78" s="95">
        <f t="shared" ref="O78" si="475">O75*AE78</f>
        <v>67.025031233220588</v>
      </c>
      <c r="P78" s="95">
        <f t="shared" ref="P78" si="476">P75*AF78</f>
        <v>76.580954228174363</v>
      </c>
      <c r="Q78" s="95">
        <f t="shared" ref="Q78" si="477">Q75*AG78</f>
        <v>87.56412589757285</v>
      </c>
      <c r="R78" s="81">
        <f t="shared" si="425"/>
        <v>0.1388516989948578</v>
      </c>
      <c r="S78" s="68" t="s">
        <v>25</v>
      </c>
      <c r="T78" s="74">
        <f>1-SUM(T76:T77)</f>
        <v>0.37000000000000011</v>
      </c>
      <c r="U78" s="74">
        <f t="shared" ref="U78" si="478">1-SUM(U76:U77)</f>
        <v>0.36963492782342899</v>
      </c>
      <c r="V78" s="74">
        <f t="shared" ref="V78" si="479">1-SUM(V76:V77)</f>
        <v>0.36926535378745873</v>
      </c>
      <c r="W78" s="74">
        <f t="shared" ref="W78" si="480">1-SUM(W76:W77)</f>
        <v>0.36889126780756321</v>
      </c>
      <c r="X78" s="74">
        <f t="shared" ref="X78" si="481">1-SUM(X76:X77)</f>
        <v>0.36851265975402026</v>
      </c>
      <c r="Y78" s="74">
        <f t="shared" ref="Y78" si="482">1-SUM(Y76:Y77)</f>
        <v>0.3681295194517713</v>
      </c>
      <c r="Z78" s="74">
        <f t="shared" ref="Z78" si="483">1-SUM(Z76:Z77)</f>
        <v>0.36774183668028004</v>
      </c>
      <c r="AA78" s="74">
        <f t="shared" ref="AA78" si="484">1-SUM(AA76:AA77)</f>
        <v>0.36734960117339077</v>
      </c>
      <c r="AB78" s="74">
        <f t="shared" ref="AB78" si="485">1-SUM(AB76:AB77)</f>
        <v>0.36695280261918639</v>
      </c>
      <c r="AC78" s="74">
        <f t="shared" ref="AC78" si="486">1-SUM(AC76:AC77)</f>
        <v>0.36655143065984541</v>
      </c>
      <c r="AD78" s="74">
        <f t="shared" ref="AD78" si="487">1-SUM(AD76:AD77)</f>
        <v>0.36614547489149896</v>
      </c>
      <c r="AE78" s="74">
        <f t="shared" ref="AE78" si="488">1-SUM(AE76:AE77)</f>
        <v>0.36573492486408665</v>
      </c>
      <c r="AF78" s="74">
        <f t="shared" ref="AF78" si="489">1-SUM(AF76:AF77)</f>
        <v>0.36531977008121275</v>
      </c>
      <c r="AG78" s="74">
        <f t="shared" ref="AG78" si="490">1-SUM(AG76:AG77)</f>
        <v>0.36490000000000056</v>
      </c>
    </row>
    <row r="79" spans="1:33" ht="15.75" thickBot="1" x14ac:dyDescent="0.3">
      <c r="A79" s="111"/>
      <c r="B79" s="69" t="s">
        <v>26</v>
      </c>
      <c r="C79" s="58"/>
      <c r="D79" s="96">
        <f>D64*T79</f>
        <v>42.705142480000042</v>
      </c>
      <c r="E79" s="96">
        <f t="shared" ref="E79" si="491">E64*U79</f>
        <v>48.020049809363627</v>
      </c>
      <c r="F79" s="96">
        <f t="shared" ref="F79" si="492">F64*V79</f>
        <v>54.030673958899939</v>
      </c>
      <c r="G79" s="96">
        <f t="shared" ref="G79" si="493">G64*W79</f>
        <v>60.832342829652951</v>
      </c>
      <c r="H79" s="96">
        <f t="shared" ref="H79" si="494">H64*X79</f>
        <v>68.534003435764461</v>
      </c>
      <c r="I79" s="96">
        <f t="shared" ref="I79" si="495">I64*Y79</f>
        <v>77.260243827796259</v>
      </c>
      <c r="J79" s="96">
        <f t="shared" ref="J79" si="496">J64*Z79</f>
        <v>87.153626042990226</v>
      </c>
      <c r="K79" s="96">
        <f t="shared" ref="K79" si="497">K64*AA79</f>
        <v>98.377379526425116</v>
      </c>
      <c r="L79" s="96">
        <f t="shared" ref="L79" si="498">L64*AB79</f>
        <v>111.11851257047948</v>
      </c>
      <c r="M79" s="96">
        <f t="shared" ref="M79" si="499">M64*AC79</f>
        <v>125.59140878958628</v>
      </c>
      <c r="N79" s="96">
        <f t="shared" ref="N79" si="500">N64*AD79</f>
        <v>142.04198671935683</v>
      </c>
      <c r="O79" s="96">
        <f t="shared" ref="O79" si="501">O64*AE79</f>
        <v>160.75251358204645</v>
      </c>
      <c r="P79" s="96">
        <f t="shared" ref="P79" si="502">P64*AF79</f>
        <v>182.04717942179457</v>
      </c>
      <c r="Q79" s="96">
        <f t="shared" ref="Q79" si="503">Q64*AG79</f>
        <v>206.29855556933398</v>
      </c>
      <c r="R79" s="82">
        <f t="shared" si="425"/>
        <v>0.12916168139610112</v>
      </c>
      <c r="S79" s="69" t="s">
        <v>26</v>
      </c>
      <c r="T79" s="12">
        <f>1-SUM(T74+T75)</f>
        <v>0.37</v>
      </c>
      <c r="U79" s="12">
        <f t="shared" ref="U79:AG79" si="504">1-SUM(U74+U75)</f>
        <v>0.36753417522645271</v>
      </c>
      <c r="V79" s="12">
        <f t="shared" si="504"/>
        <v>0.36505648803236646</v>
      </c>
      <c r="W79" s="12">
        <f t="shared" si="504"/>
        <v>0.36256687293191459</v>
      </c>
      <c r="X79" s="12">
        <f t="shared" si="504"/>
        <v>0.36006526405167993</v>
      </c>
      <c r="Y79" s="12">
        <f t="shared" si="504"/>
        <v>0.35755159512829038</v>
      </c>
      <c r="Z79" s="12">
        <f t="shared" si="504"/>
        <v>0.35502579950603996</v>
      </c>
      <c r="AA79" s="12">
        <f t="shared" si="504"/>
        <v>0.35248781013449515</v>
      </c>
      <c r="AB79" s="12">
        <f t="shared" si="504"/>
        <v>0.34993755956608608</v>
      </c>
      <c r="AC79" s="12">
        <f t="shared" si="504"/>
        <v>0.3473749799536836</v>
      </c>
      <c r="AD79" s="12">
        <f t="shared" si="504"/>
        <v>0.34480000304816039</v>
      </c>
      <c r="AE79" s="12">
        <f t="shared" si="504"/>
        <v>0.34221256019593804</v>
      </c>
      <c r="AF79" s="12">
        <f t="shared" si="504"/>
        <v>0.33961258233651859</v>
      </c>
      <c r="AG79" s="12">
        <f t="shared" si="504"/>
        <v>0.33699999999999986</v>
      </c>
    </row>
    <row r="80" spans="1:33" ht="15.75" thickBot="1" x14ac:dyDescent="0.3">
      <c r="A80" s="2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21"/>
    </row>
    <row r="81" spans="1:33" x14ac:dyDescent="0.25">
      <c r="A81" s="113" t="s">
        <v>27</v>
      </c>
      <c r="B81" s="61" t="s">
        <v>28</v>
      </c>
      <c r="C81" s="56"/>
      <c r="D81" s="91">
        <f>D64*T81</f>
        <v>46.283140904000042</v>
      </c>
      <c r="E81" s="91">
        <f t="shared" ref="E81" si="505">E64*U81</f>
        <v>52.608213965072189</v>
      </c>
      <c r="F81" s="91">
        <f t="shared" ref="F81" si="506">F64*V81</f>
        <v>59.840236404224655</v>
      </c>
      <c r="G81" s="91">
        <f t="shared" ref="G81" si="507">G64*W81</f>
        <v>68.115149840729387</v>
      </c>
      <c r="H81" s="91">
        <f t="shared" ref="H81" si="508">H64*X81</f>
        <v>77.590129608900824</v>
      </c>
      <c r="I81" s="91">
        <f t="shared" ref="I81" si="509">I64*Y81</f>
        <v>88.447031927615043</v>
      </c>
      <c r="J81" s="91">
        <f t="shared" ref="J81" si="510">J64*Z81</f>
        <v>100.89642140829093</v>
      </c>
      <c r="K81" s="91">
        <f t="shared" ref="K81" si="511">K64*AA81</f>
        <v>115.18228001920232</v>
      </c>
      <c r="L81" s="91">
        <f t="shared" ref="L81" si="512">L64*AB81</f>
        <v>131.58751682730983</v>
      </c>
      <c r="M81" s="91">
        <f t="shared" ref="M81" si="513">M64*AC81</f>
        <v>150.4404194226297</v>
      </c>
      <c r="N81" s="91">
        <f t="shared" ref="N81" si="514">N64*AD81</f>
        <v>172.1222135412267</v>
      </c>
      <c r="O81" s="91">
        <f t="shared" ref="O81" si="515">O64*AE81</f>
        <v>197.07592781526517</v>
      </c>
      <c r="P81" s="91">
        <f t="shared" ref="P81" si="516">P64*AF81</f>
        <v>225.81679671927085</v>
      </c>
      <c r="Q81" s="91">
        <f t="shared" ref="Q81" si="517">Q64*AG81</f>
        <v>258.94447776210143</v>
      </c>
      <c r="R81" s="78">
        <f>RATE(12,,-E81,Q81)</f>
        <v>0.142035028128114</v>
      </c>
      <c r="S81" s="61" t="s">
        <v>28</v>
      </c>
      <c r="T81" s="12">
        <v>0.40099999999999997</v>
      </c>
      <c r="U81" s="12">
        <v>0.40265090533119946</v>
      </c>
      <c r="V81" s="12">
        <v>0.40430860739160734</v>
      </c>
      <c r="W81" s="12">
        <v>0.40597313416316017</v>
      </c>
      <c r="X81" s="12">
        <v>0.40764451374299493</v>
      </c>
      <c r="Y81" s="12">
        <v>0.40932277434392395</v>
      </c>
      <c r="Z81" s="12">
        <v>0.41100794429491083</v>
      </c>
      <c r="AA81" s="12">
        <v>0.4127000520415488</v>
      </c>
      <c r="AB81" s="12">
        <v>0.41439912614654062</v>
      </c>
      <c r="AC81" s="12">
        <v>0.41610519529018092</v>
      </c>
      <c r="AD81" s="12">
        <v>0.41781828827084017</v>
      </c>
      <c r="AE81" s="12">
        <v>0.4195384340054511</v>
      </c>
      <c r="AF81" s="12">
        <v>0.4212656615299965</v>
      </c>
      <c r="AG81" s="12">
        <v>0.42299999999999938</v>
      </c>
    </row>
    <row r="82" spans="1:33" x14ac:dyDescent="0.25">
      <c r="A82" s="114"/>
      <c r="B82" s="62" t="s">
        <v>29</v>
      </c>
      <c r="C82" s="47"/>
      <c r="D82" s="97">
        <f>D64*T82</f>
        <v>49.74572002400005</v>
      </c>
      <c r="E82" s="97">
        <f t="shared" ref="E82" si="518">E64*U82</f>
        <v>56.421427659883136</v>
      </c>
      <c r="F82" s="97">
        <f t="shared" ref="F82" si="519">F64*V82</f>
        <v>64.038541119358868</v>
      </c>
      <c r="G82" s="97">
        <f t="shared" ref="G82" si="520">G64*W82</f>
        <v>72.736007871240218</v>
      </c>
      <c r="H82" s="97">
        <f t="shared" ref="H82" si="521">H64*X82</f>
        <v>82.674168900422274</v>
      </c>
      <c r="I82" s="97">
        <f t="shared" ref="I82" si="522">I64*Y82</f>
        <v>94.038185304929868</v>
      </c>
      <c r="J82" s="97">
        <f t="shared" ref="J82" si="523">J64*Z82</f>
        <v>107.04203447930472</v>
      </c>
      <c r="K82" s="97">
        <f t="shared" ref="K82" si="524">K64*AA82</f>
        <v>121.93317394063432</v>
      </c>
      <c r="L82" s="97">
        <f t="shared" ref="L82" si="525">L64*AB82</f>
        <v>138.99798830471411</v>
      </c>
      <c r="M82" s="97">
        <f t="shared" ref="M82" si="526">M64*AC82</f>
        <v>158.56815557664555</v>
      </c>
      <c r="N82" s="97">
        <f t="shared" ref="N82" si="527">N64*AD82</f>
        <v>181.02809338950684</v>
      </c>
      <c r="O82" s="97">
        <f t="shared" ref="O82" si="528">O64*AE82</f>
        <v>206.82367483176037</v>
      </c>
      <c r="P82" s="97">
        <f t="shared" ref="P82" si="529">P64*AF82</f>
        <v>236.47243791592129</v>
      </c>
      <c r="Q82" s="97">
        <f t="shared" ref="Q82" si="530">Q64*AG82</f>
        <v>270.57555359538793</v>
      </c>
      <c r="R82" s="83">
        <f>RATE(12,,-E82,Q82)</f>
        <v>0.13955959022285724</v>
      </c>
      <c r="S82" s="62" t="s">
        <v>29</v>
      </c>
      <c r="T82" s="12">
        <v>0.43099999999999999</v>
      </c>
      <c r="U82" s="12">
        <v>0.43183634674261745</v>
      </c>
      <c r="V82" s="12">
        <v>0.43267431639909548</v>
      </c>
      <c r="W82" s="12">
        <v>0.43351391211866536</v>
      </c>
      <c r="X82" s="12">
        <v>0.43435513705666956</v>
      </c>
      <c r="Y82" s="12">
        <v>0.43519799437457324</v>
      </c>
      <c r="Z82" s="12">
        <v>0.43604248723997657</v>
      </c>
      <c r="AA82" s="12">
        <v>0.43688861882662616</v>
      </c>
      <c r="AB82" s="12">
        <v>0.43773639231442729</v>
      </c>
      <c r="AC82" s="12">
        <v>0.43858581088945586</v>
      </c>
      <c r="AD82" s="12">
        <v>0.43943687774397006</v>
      </c>
      <c r="AE82" s="12">
        <v>0.44028959607642287</v>
      </c>
      <c r="AF82" s="12">
        <v>0.44114396909147369</v>
      </c>
      <c r="AG82" s="12">
        <v>0.44200000000000028</v>
      </c>
    </row>
    <row r="83" spans="1:33" ht="15.75" thickBot="1" x14ac:dyDescent="0.3">
      <c r="A83" s="115"/>
      <c r="B83" s="63" t="s">
        <v>30</v>
      </c>
      <c r="C83" s="51"/>
      <c r="D83" s="92">
        <f>D64*T83</f>
        <v>19.390443072000021</v>
      </c>
      <c r="E83" s="92">
        <f t="shared" ref="E83" si="531">E64*U83</f>
        <v>21.62501050304483</v>
      </c>
      <c r="F83" s="92">
        <f t="shared" ref="F83" si="532">F64*V83</f>
        <v>24.127560482137646</v>
      </c>
      <c r="G83" s="92">
        <f t="shared" ref="G83" si="533">G64*W83</f>
        <v>26.931249813928339</v>
      </c>
      <c r="H83" s="92">
        <f t="shared" ref="H83" si="534">H64*X83</f>
        <v>30.073427114573263</v>
      </c>
      <c r="I83" s="92">
        <f t="shared" ref="I83" si="535">I64*Y83</f>
        <v>33.596167609480709</v>
      </c>
      <c r="J83" s="92">
        <f t="shared" ref="J83" si="536">J64*Z83</f>
        <v>37.546875500292664</v>
      </c>
      <c r="K83" s="92">
        <f t="shared" ref="K83" si="537">K64*AA83</f>
        <v>41.978962068020515</v>
      </c>
      <c r="L83" s="92">
        <f t="shared" ref="L83" si="538">L64*AB83</f>
        <v>46.952608548210023</v>
      </c>
      <c r="M83" s="92">
        <f t="shared" ref="M83" si="539">M64*AC83</f>
        <v>52.535623740460423</v>
      </c>
      <c r="N83" s="92">
        <f t="shared" ref="N83" si="540">N64*AD83</f>
        <v>58.804407290997261</v>
      </c>
      <c r="O83" s="92">
        <f t="shared" ref="O83" si="541">O64*AE83</f>
        <v>65.845030600817879</v>
      </c>
      <c r="P83" s="92">
        <f t="shared" ref="P83" si="542">P64*AF83</f>
        <v>73.754448344156089</v>
      </c>
      <c r="Q83" s="92">
        <f t="shared" ref="Q83" si="543">Q64*AG83</f>
        <v>82.641854604926323</v>
      </c>
      <c r="R83" s="79">
        <f>RATE(12,,-E83,Q83)</f>
        <v>0.11820211831106113</v>
      </c>
      <c r="S83" s="63" t="s">
        <v>30</v>
      </c>
      <c r="T83" s="12">
        <f>1-SUM(T81:T82)</f>
        <v>0.16800000000000004</v>
      </c>
      <c r="U83" s="12">
        <f t="shared" ref="U83" si="544">1-SUM(U81:U82)</f>
        <v>0.16551274792618309</v>
      </c>
      <c r="V83" s="12">
        <f t="shared" ref="V83" si="545">1-SUM(V81:V82)</f>
        <v>0.16301707620929717</v>
      </c>
      <c r="W83" s="12">
        <f t="shared" ref="W83" si="546">1-SUM(W81:W82)</f>
        <v>0.16051295371817442</v>
      </c>
      <c r="X83" s="12">
        <f t="shared" ref="X83" si="547">1-SUM(X81:X82)</f>
        <v>0.15800034920033545</v>
      </c>
      <c r="Y83" s="12">
        <f t="shared" ref="Y83" si="548">1-SUM(Y81:Y82)</f>
        <v>0.15547923128150276</v>
      </c>
      <c r="Z83" s="12">
        <f t="shared" ref="Z83" si="549">1-SUM(Z81:Z82)</f>
        <v>0.15294956846511254</v>
      </c>
      <c r="AA83" s="12">
        <f t="shared" ref="AA83" si="550">1-SUM(AA81:AA82)</f>
        <v>0.15041132913182498</v>
      </c>
      <c r="AB83" s="12">
        <f t="shared" ref="AB83" si="551">1-SUM(AB81:AB82)</f>
        <v>0.14786448153903209</v>
      </c>
      <c r="AC83" s="12">
        <f t="shared" ref="AC83" si="552">1-SUM(AC81:AC82)</f>
        <v>0.14530899382036322</v>
      </c>
      <c r="AD83" s="12">
        <f t="shared" ref="AD83" si="553">1-SUM(AD81:AD82)</f>
        <v>0.14274483398518978</v>
      </c>
      <c r="AE83" s="12">
        <f t="shared" ref="AE83" si="554">1-SUM(AE81:AE82)</f>
        <v>0.14017196991812608</v>
      </c>
      <c r="AF83" s="12">
        <f t="shared" ref="AF83" si="555">1-SUM(AF81:AF82)</f>
        <v>0.13759036937852986</v>
      </c>
      <c r="AG83" s="12">
        <f t="shared" ref="AG83" si="556">1-SUM(AG81:AG82)</f>
        <v>0.13500000000000034</v>
      </c>
    </row>
  </sheetData>
  <mergeCells count="18">
    <mergeCell ref="A30:A32"/>
    <mergeCell ref="A2:R2"/>
    <mergeCell ref="A35:R35"/>
    <mergeCell ref="A39:A40"/>
    <mergeCell ref="A42:A43"/>
    <mergeCell ref="A14:A15"/>
    <mergeCell ref="A17:A18"/>
    <mergeCell ref="A23:A28"/>
    <mergeCell ref="A20:A21"/>
    <mergeCell ref="A71:A72"/>
    <mergeCell ref="A74:A79"/>
    <mergeCell ref="A81:A83"/>
    <mergeCell ref="A45:A46"/>
    <mergeCell ref="A48:A53"/>
    <mergeCell ref="A55:A57"/>
    <mergeCell ref="A61:R61"/>
    <mergeCell ref="A65:A66"/>
    <mergeCell ref="A68:A6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1FF4-89BC-4C5E-962A-72408B440ECE}">
  <dimension ref="A2:AG32"/>
  <sheetViews>
    <sheetView showGridLines="0" topLeftCell="A11" zoomScaleNormal="100" workbookViewId="0">
      <selection activeCell="G30" sqref="G30"/>
    </sheetView>
  </sheetViews>
  <sheetFormatPr defaultRowHeight="15" x14ac:dyDescent="0.25"/>
  <cols>
    <col min="1" max="1" width="15.28515625" customWidth="1"/>
    <col min="2" max="2" width="26.140625" customWidth="1"/>
    <col min="16" max="16" width="10.85546875" customWidth="1"/>
    <col min="17" max="17" width="11.7109375" customWidth="1"/>
    <col min="18" max="18" width="26.42578125" customWidth="1"/>
    <col min="19" max="19" width="24.28515625" customWidth="1"/>
  </cols>
  <sheetData>
    <row r="2" spans="1:33" ht="26.25" x14ac:dyDescent="0.4">
      <c r="A2" s="109" t="s">
        <v>80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70"/>
    </row>
    <row r="3" spans="1:33" ht="26.25" x14ac:dyDescent="0.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70"/>
    </row>
    <row r="4" spans="1:33" ht="26.25" x14ac:dyDescent="0.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70"/>
    </row>
    <row r="5" spans="1:33" ht="26.25" x14ac:dyDescent="0.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70"/>
    </row>
    <row r="6" spans="1:33" ht="26.25" x14ac:dyDescent="0.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70"/>
    </row>
    <row r="7" spans="1:33" ht="26.25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70"/>
    </row>
    <row r="8" spans="1:33" ht="26.25" x14ac:dyDescent="0.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70"/>
    </row>
    <row r="9" spans="1:33" ht="26.25" x14ac:dyDescent="0.4">
      <c r="A9" s="103"/>
      <c r="B9" s="103"/>
      <c r="C9" s="10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70"/>
    </row>
    <row r="10" spans="1:33" ht="26.25" x14ac:dyDescent="0.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70"/>
    </row>
    <row r="11" spans="1:33" ht="27" thickBot="1" x14ac:dyDescent="0.4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70"/>
    </row>
    <row r="12" spans="1:33" ht="15.75" x14ac:dyDescent="0.25">
      <c r="A12" s="49"/>
      <c r="B12" s="50"/>
      <c r="C12" s="100"/>
      <c r="D12" s="98">
        <v>2023</v>
      </c>
      <c r="E12" s="72">
        <v>2024</v>
      </c>
      <c r="F12" s="72">
        <v>2025</v>
      </c>
      <c r="G12" s="72">
        <v>2026</v>
      </c>
      <c r="H12" s="72">
        <v>2027</v>
      </c>
      <c r="I12" s="72">
        <v>2028</v>
      </c>
      <c r="J12" s="72">
        <v>2029</v>
      </c>
      <c r="K12" s="72">
        <v>2030</v>
      </c>
      <c r="L12" s="72">
        <v>2031</v>
      </c>
      <c r="M12" s="72">
        <v>2032</v>
      </c>
      <c r="N12" s="72">
        <v>2033</v>
      </c>
      <c r="O12" s="72">
        <v>2034</v>
      </c>
      <c r="P12" s="72">
        <v>2035</v>
      </c>
      <c r="Q12" s="72">
        <v>2036</v>
      </c>
      <c r="R12" s="73" t="s">
        <v>13</v>
      </c>
    </row>
    <row r="13" spans="1:33" ht="16.5" thickBot="1" x14ac:dyDescent="0.3">
      <c r="A13" s="26"/>
      <c r="B13" s="101"/>
      <c r="C13" s="102"/>
      <c r="D13" s="99">
        <f>'North America'!D13+Europe!D13+APAC!D13+'Latin America'!D13+MEA!D13</f>
        <v>5467</v>
      </c>
      <c r="E13" s="99">
        <f>'North America'!E13+Europe!E13+APAC!E13+'Latin America'!E13+MEA!E13</f>
        <v>6149.3791312800004</v>
      </c>
      <c r="F13" s="99">
        <f>'North America'!F13+Europe!F13+APAC!F13+'Latin America'!F13+MEA!F13</f>
        <v>6913.5935838427531</v>
      </c>
      <c r="G13" s="99">
        <f>'North America'!G13+Europe!G13+APAC!G13+'Latin America'!G13+MEA!G13</f>
        <v>7783.3528091473381</v>
      </c>
      <c r="H13" s="99">
        <f>'North America'!H13+Europe!H13+APAC!H13+'Latin America'!H13+MEA!H13</f>
        <v>8774.4611333440007</v>
      </c>
      <c r="I13" s="99">
        <f>'North America'!I13+Europe!I13+APAC!I13+'Latin America'!I13+MEA!I13</f>
        <v>9905.2859515133605</v>
      </c>
      <c r="J13" s="99">
        <f>'North America'!J13+Europe!J13+APAC!J13+'Latin America'!J13+MEA!J13</f>
        <v>11197.209403994741</v>
      </c>
      <c r="K13" s="99">
        <f>'North America'!K13+Europe!K13+APAC!K13+'Latin America'!K13+MEA!K13</f>
        <v>12675.166284564613</v>
      </c>
      <c r="L13" s="99">
        <f>'North America'!L13+Europe!L13+APAC!L13+'Latin America'!L13+MEA!L13</f>
        <v>14368.285844397558</v>
      </c>
      <c r="M13" s="99">
        <f>'North America'!M13+Europe!M13+APAC!M13+'Latin America'!M13+MEA!M13</f>
        <v>16310.658999079347</v>
      </c>
      <c r="N13" s="99">
        <f>'North America'!N13+Europe!N13+APAC!N13+'Latin America'!N13+MEA!N13</f>
        <v>18542.257171710513</v>
      </c>
      <c r="O13" s="99">
        <f>'North America'!O13+Europe!O13+APAC!O13+'Latin America'!O13+MEA!O13</f>
        <v>21110.034826324139</v>
      </c>
      <c r="P13" s="99">
        <f>'North America'!P13+Europe!P13+APAC!P13+'Latin America'!P13+MEA!P13</f>
        <v>24069.254929314684</v>
      </c>
      <c r="Q13" s="99">
        <f>'North America'!Q13+Europe!Q13+APAC!Q13+'Latin America'!Q13+MEA!Q13</f>
        <v>27485.085457347268</v>
      </c>
      <c r="R13" s="75">
        <f>RATE(12,,-E13,Q13)</f>
        <v>0.13289280472166895</v>
      </c>
      <c r="T13" s="72">
        <v>2023</v>
      </c>
      <c r="U13" s="72">
        <v>2024</v>
      </c>
      <c r="V13" s="72">
        <v>2025</v>
      </c>
      <c r="W13" s="72">
        <v>2026</v>
      </c>
      <c r="X13" s="72">
        <v>2027</v>
      </c>
      <c r="Y13" s="72">
        <v>2028</v>
      </c>
      <c r="Z13" s="72">
        <v>2029</v>
      </c>
      <c r="AA13" s="72">
        <v>2030</v>
      </c>
      <c r="AB13" s="72">
        <v>2031</v>
      </c>
      <c r="AC13" s="72">
        <v>2032</v>
      </c>
      <c r="AD13" s="72">
        <v>2033</v>
      </c>
      <c r="AE13" s="72">
        <v>2034</v>
      </c>
      <c r="AF13" s="72">
        <v>2035</v>
      </c>
      <c r="AG13" s="72">
        <v>2036</v>
      </c>
    </row>
    <row r="14" spans="1:33" x14ac:dyDescent="0.25">
      <c r="A14" s="110" t="s">
        <v>51</v>
      </c>
      <c r="B14" s="59" t="s">
        <v>34</v>
      </c>
      <c r="C14" s="52"/>
      <c r="D14" s="86">
        <f>'North America'!D14+Europe!D14+APAC!D14+'Latin America'!D14+MEA!D14</f>
        <v>2950.080672</v>
      </c>
      <c r="E14" s="86">
        <f>'North America'!E14+Europe!E14+APAC!E14+'Latin America'!E14+MEA!E14</f>
        <v>3109.3205157635339</v>
      </c>
      <c r="F14" s="86">
        <f>'North America'!F14+Europe!F14+APAC!F14+'Latin America'!F14+MEA!F14</f>
        <v>3508.1515585688612</v>
      </c>
      <c r="G14" s="86">
        <f>'North America'!G14+Europe!G14+APAC!G14+'Latin America'!G14+MEA!G14</f>
        <v>3962.9554102236557</v>
      </c>
      <c r="H14" s="86">
        <f>'North America'!H14+Europe!H14+APAC!H14+'Latin America'!H14+MEA!H14</f>
        <v>4482.1791780321864</v>
      </c>
      <c r="I14" s="86">
        <f>'North America'!I14+Europe!I14+APAC!I14+'Latin America'!I14+MEA!I14</f>
        <v>5075.6435520107671</v>
      </c>
      <c r="J14" s="86">
        <f>'North America'!J14+Europe!J14+APAC!J14+'Latin America'!J14+MEA!J14</f>
        <v>5754.7847275102549</v>
      </c>
      <c r="K14" s="86">
        <f>'North America'!K14+Europe!K14+APAC!K14+'Latin America'!K14+MEA!K14</f>
        <v>6532.9423956397695</v>
      </c>
      <c r="L14" s="86">
        <f>'North America'!L14+Europe!L14+APAC!L14+'Latin America'!L14+MEA!L14</f>
        <v>7425.7031978609975</v>
      </c>
      <c r="M14" s="86">
        <f>'North America'!M14+Europe!M14+APAC!M14+'Latin America'!M14+MEA!M14</f>
        <v>8451.3110724656781</v>
      </c>
      <c r="N14" s="86">
        <f>'North America'!N14+Europe!N14+APAC!N14+'Latin America'!N14+MEA!N14</f>
        <v>9631.1584140604955</v>
      </c>
      <c r="O14" s="86">
        <f>'North America'!O14+Europe!O14+APAC!O14+'Latin America'!O14+MEA!O14</f>
        <v>10990.37503276373</v>
      </c>
      <c r="P14" s="86">
        <f>'North America'!P14+Europe!P14+APAC!P14+'Latin America'!P14+MEA!P14</f>
        <v>12558.535675051866</v>
      </c>
      <c r="Q14" s="86">
        <f>'North America'!Q14+Europe!Q14+APAC!Q14+'Latin America'!Q14+MEA!Q14</f>
        <v>14370.51152503911</v>
      </c>
      <c r="R14" s="84">
        <f>RATE(12,,-E14,Q14)</f>
        <v>0.13605814896966009</v>
      </c>
      <c r="S14" s="59" t="s">
        <v>34</v>
      </c>
      <c r="T14" s="12">
        <v>0.56000000000000005</v>
      </c>
      <c r="U14" s="12">
        <v>0.56092161367703952</v>
      </c>
      <c r="V14" s="12">
        <v>0.56184474408938223</v>
      </c>
      <c r="W14" s="12">
        <v>0.56276939373317769</v>
      </c>
      <c r="X14" s="12">
        <v>0.56369556510868446</v>
      </c>
      <c r="Y14" s="12">
        <v>0.56462326072027491</v>
      </c>
      <c r="Z14" s="12">
        <v>0.56555248307644368</v>
      </c>
      <c r="AA14" s="12">
        <v>0.56648323468981299</v>
      </c>
      <c r="AB14" s="12">
        <v>0.56741551807714108</v>
      </c>
      <c r="AC14" s="12">
        <v>0.56834933575932756</v>
      </c>
      <c r="AD14" s="12">
        <v>0.56928469026142059</v>
      </c>
      <c r="AE14" s="12">
        <v>0.57022158411262425</v>
      </c>
      <c r="AF14" s="12">
        <v>0.57116001984630527</v>
      </c>
      <c r="AG14" s="12">
        <v>0.57209999999999905</v>
      </c>
    </row>
    <row r="15" spans="1:33" ht="15.75" thickBot="1" x14ac:dyDescent="0.3">
      <c r="A15" s="111"/>
      <c r="B15" s="60" t="s">
        <v>35</v>
      </c>
      <c r="C15" s="53"/>
      <c r="D15" s="87">
        <f>'North America'!D15+Europe!D15+APAC!D15+'Latin America'!D15+MEA!D15</f>
        <v>2317.9205280000001</v>
      </c>
      <c r="E15" s="87">
        <f>'North America'!E15+Europe!E15+APAC!E15+'Latin America'!E15+MEA!E15</f>
        <v>2433.9148311164663</v>
      </c>
      <c r="F15" s="87">
        <f>'North America'!F15+Europe!F15+APAC!F15+'Latin America'!F15+MEA!F15</f>
        <v>2735.8359406018344</v>
      </c>
      <c r="G15" s="87">
        <f>'North America'!G15+Europe!G15+APAC!G15+'Latin America'!G15+MEA!G15</f>
        <v>3078.9261390465704</v>
      </c>
      <c r="H15" s="87">
        <f>'North America'!H15+Europe!H15+APAC!H15+'Latin America'!H15+MEA!H15</f>
        <v>3469.2390261681453</v>
      </c>
      <c r="I15" s="87">
        <f>'North America'!I15+Europe!I15+APAC!I15+'Latin America'!I15+MEA!I15</f>
        <v>3913.7904743803942</v>
      </c>
      <c r="J15" s="87">
        <f>'North America'!J15+Europe!J15+APAC!J15+'Latin America'!J15+MEA!J15</f>
        <v>4420.7248842694908</v>
      </c>
      <c r="K15" s="87">
        <f>'North America'!K15+Europe!K15+APAC!K15+'Latin America'!K15+MEA!K15</f>
        <v>4999.5125749243407</v>
      </c>
      <c r="L15" s="87">
        <f>'North America'!L15+Europe!L15+APAC!L15+'Latin America'!L15+MEA!L15</f>
        <v>5661.1845612634552</v>
      </c>
      <c r="M15" s="87">
        <f>'North America'!M15+Europe!M15+APAC!M15+'Latin America'!M15+MEA!M15</f>
        <v>6418.6123016410857</v>
      </c>
      <c r="N15" s="87">
        <f>'North America'!N15+Europe!N15+APAC!N15+'Latin America'!N15+MEA!N15</f>
        <v>7286.8416284802297</v>
      </c>
      <c r="O15" s="87">
        <f>'North America'!O15+Europe!O15+APAC!O15+'Latin America'!O15+MEA!O15</f>
        <v>8283.4920725421689</v>
      </c>
      <c r="P15" s="87">
        <f>'North America'!P15+Europe!P15+APAC!P15+'Latin America'!P15+MEA!P15</f>
        <v>9429.2352449632835</v>
      </c>
      <c r="Q15" s="87">
        <f>'North America'!Q15+Europe!Q15+APAC!Q15+'Latin America'!Q15+MEA!Q15</f>
        <v>10748.368959210384</v>
      </c>
      <c r="R15" s="85">
        <f>RATE(12,,-E15,Q15)</f>
        <v>0.13175676483909154</v>
      </c>
      <c r="S15" s="60" t="s">
        <v>35</v>
      </c>
      <c r="T15" s="12">
        <f>1-T14</f>
        <v>0.43999999999999995</v>
      </c>
      <c r="U15" s="12">
        <f t="shared" ref="U15:AG15" si="0">1-U14</f>
        <v>0.43907838632296048</v>
      </c>
      <c r="V15" s="12">
        <f t="shared" si="0"/>
        <v>0.43815525591061777</v>
      </c>
      <c r="W15" s="12">
        <f t="shared" si="0"/>
        <v>0.43723060626682231</v>
      </c>
      <c r="X15" s="12">
        <f t="shared" si="0"/>
        <v>0.43630443489131554</v>
      </c>
      <c r="Y15" s="12">
        <f t="shared" si="0"/>
        <v>0.43537673927972509</v>
      </c>
      <c r="Z15" s="12">
        <f t="shared" si="0"/>
        <v>0.43444751692355632</v>
      </c>
      <c r="AA15" s="12">
        <f t="shared" si="0"/>
        <v>0.43351676531018701</v>
      </c>
      <c r="AB15" s="12">
        <f t="shared" si="0"/>
        <v>0.43258448192285892</v>
      </c>
      <c r="AC15" s="12">
        <f t="shared" si="0"/>
        <v>0.43165066424067244</v>
      </c>
      <c r="AD15" s="12">
        <f t="shared" si="0"/>
        <v>0.43071530973857941</v>
      </c>
      <c r="AE15" s="12">
        <f t="shared" si="0"/>
        <v>0.42977841588737575</v>
      </c>
      <c r="AF15" s="12">
        <f t="shared" si="0"/>
        <v>0.42883998015369473</v>
      </c>
      <c r="AG15" s="12">
        <f t="shared" si="0"/>
        <v>0.42790000000000095</v>
      </c>
    </row>
    <row r="16" spans="1:33" ht="15.75" thickBot="1" x14ac:dyDescent="0.3">
      <c r="A16" s="1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21"/>
    </row>
    <row r="17" spans="1:33" x14ac:dyDescent="0.25">
      <c r="A17" s="110" t="s">
        <v>15</v>
      </c>
      <c r="B17" s="64" t="s">
        <v>16</v>
      </c>
      <c r="C17" s="54"/>
      <c r="D17" s="89">
        <f>'North America'!D17+Europe!D17+APAC!D17+'Latin America'!D17+MEA!D17</f>
        <v>2481.2285651999996</v>
      </c>
      <c r="E17" s="89">
        <f>'North America'!E17+Europe!E17+APAC!E17+'Latin America'!E17+MEA!E17</f>
        <v>2607.4526266285534</v>
      </c>
      <c r="F17" s="89">
        <f>'North America'!F17+Europe!F17+APAC!F17+'Latin America'!F17+MEA!F17</f>
        <v>2933.2332044181098</v>
      </c>
      <c r="G17" s="89">
        <f>'North America'!G17+Europe!G17+APAC!G17+'Latin America'!G17+MEA!G17</f>
        <v>3303.7258129999313</v>
      </c>
      <c r="H17" s="89">
        <f>'North America'!H17+Europe!H17+APAC!H17+'Latin America'!H17+MEA!H17</f>
        <v>3725.5452524449397</v>
      </c>
      <c r="I17" s="89">
        <f>'North America'!I17+Europe!I17+APAC!I17+'Latin America'!I17+MEA!I17</f>
        <v>4206.3636294259559</v>
      </c>
      <c r="J17" s="89">
        <f>'North America'!J17+Europe!J17+APAC!J17+'Latin America'!J17+MEA!J17</f>
        <v>4755.0939147355339</v>
      </c>
      <c r="K17" s="89">
        <f>'North America'!K17+Europe!K17+APAC!K17+'Latin America'!K17+MEA!K17</f>
        <v>5382.1080235701884</v>
      </c>
      <c r="L17" s="89">
        <f>'North America'!L17+Europe!L17+APAC!L17+'Latin America'!L17+MEA!L17</f>
        <v>6099.4963794257737</v>
      </c>
      <c r="M17" s="89">
        <f>'North America'!M17+Europe!M17+APAC!M17+'Latin America'!M17+MEA!M17</f>
        <v>6921.377410516925</v>
      </c>
      <c r="N17" s="89">
        <f>'North America'!N17+Europe!N17+APAC!N17+'Latin America'!N17+MEA!N17</f>
        <v>7864.2672505441224</v>
      </c>
      <c r="O17" s="89">
        <f>'North America'!O17+Europe!O17+APAC!O17+'Latin America'!O17+MEA!O17</f>
        <v>8947.5221523477758</v>
      </c>
      <c r="P17" s="89">
        <f>'North America'!P17+Europe!P17+APAC!P17+'Latin America'!P17+MEA!P17</f>
        <v>10193.868871917792</v>
      </c>
      <c r="Q17" s="89">
        <f>'North America'!Q17+Europe!Q17+APAC!Q17+'Latin America'!Q17+MEA!Q17</f>
        <v>11630.041664207516</v>
      </c>
      <c r="R17" s="76">
        <f>RATE(12,,-E17,Q17)</f>
        <v>0.13269696537791262</v>
      </c>
      <c r="S17" s="64" t="s">
        <v>16</v>
      </c>
      <c r="T17" s="12">
        <v>0.47099999999999992</v>
      </c>
      <c r="U17" s="12">
        <v>0.47038461538461535</v>
      </c>
      <c r="V17" s="12">
        <v>0.46976923076923072</v>
      </c>
      <c r="W17" s="12">
        <v>0.46915384615384609</v>
      </c>
      <c r="X17" s="12">
        <v>0.46853846153846151</v>
      </c>
      <c r="Y17" s="12">
        <v>0.46792307692307689</v>
      </c>
      <c r="Z17" s="12">
        <v>0.46730769230769226</v>
      </c>
      <c r="AA17" s="12">
        <v>0.46669230769230763</v>
      </c>
      <c r="AB17" s="12">
        <v>0.46607692307692306</v>
      </c>
      <c r="AC17" s="12">
        <v>0.46546153846153843</v>
      </c>
      <c r="AD17" s="12">
        <v>0.4648461538461538</v>
      </c>
      <c r="AE17" s="12">
        <v>0.46423076923076922</v>
      </c>
      <c r="AF17" s="12">
        <v>0.4636153846153846</v>
      </c>
      <c r="AG17" s="12">
        <v>0.46299999999999997</v>
      </c>
    </row>
    <row r="18" spans="1:33" ht="15.75" thickBot="1" x14ac:dyDescent="0.3">
      <c r="A18" s="111"/>
      <c r="B18" s="65" t="s">
        <v>17</v>
      </c>
      <c r="C18" s="55"/>
      <c r="D18" s="90">
        <f>'North America'!D18+Europe!D18+APAC!D18+'Latin America'!D18+MEA!D18</f>
        <v>2786.7726348000015</v>
      </c>
      <c r="E18" s="90">
        <f>'North America'!E18+Europe!E18+APAC!E18+'Latin America'!E18+MEA!E18</f>
        <v>2935.7827202514459</v>
      </c>
      <c r="F18" s="90">
        <f>'North America'!F18+Europe!F18+APAC!F18+'Latin America'!F18+MEA!F18</f>
        <v>3310.7542947525858</v>
      </c>
      <c r="G18" s="90">
        <f>'North America'!G18+Europe!G18+APAC!G18+'Latin America'!G18+MEA!G18</f>
        <v>3738.1557362702956</v>
      </c>
      <c r="H18" s="90">
        <f>'North America'!H18+Europe!H18+APAC!H18+'Latin America'!H18+MEA!H18</f>
        <v>4225.8729517553911</v>
      </c>
      <c r="I18" s="90">
        <f>'North America'!I18+Europe!I18+APAC!I18+'Latin America'!I18+MEA!I18</f>
        <v>4783.0703969652059</v>
      </c>
      <c r="J18" s="90">
        <f>'North America'!J18+Europe!J18+APAC!J18+'Latin America'!J18+MEA!J18</f>
        <v>5420.4156970442118</v>
      </c>
      <c r="K18" s="90">
        <f>'North America'!K18+Europe!K18+APAC!K18+'Latin America'!K18+MEA!K18</f>
        <v>6150.3469469939228</v>
      </c>
      <c r="L18" s="90">
        <f>'North America'!L18+Europe!L18+APAC!L18+'Latin America'!L18+MEA!L18</f>
        <v>6987.391379698679</v>
      </c>
      <c r="M18" s="90">
        <f>'North America'!M18+Europe!M18+APAC!M18+'Latin America'!M18+MEA!M18</f>
        <v>7948.5459635898414</v>
      </c>
      <c r="N18" s="90">
        <f>'North America'!N18+Europe!N18+APAC!N18+'Latin America'!N18+MEA!N18</f>
        <v>9053.7327919966028</v>
      </c>
      <c r="O18" s="90">
        <f>'North America'!O18+Europe!O18+APAC!O18+'Latin America'!O18+MEA!O18</f>
        <v>10326.344952958123</v>
      </c>
      <c r="P18" s="90">
        <f>'North America'!P18+Europe!P18+APAC!P18+'Latin America'!P18+MEA!P18</f>
        <v>11793.902048097356</v>
      </c>
      <c r="Q18" s="90">
        <f>'North America'!Q18+Europe!Q18+APAC!Q18+'Latin America'!Q18+MEA!Q18</f>
        <v>13488.838820041978</v>
      </c>
      <c r="R18" s="77">
        <f>RATE(12,,-E18,Q18)</f>
        <v>0.13550108781068346</v>
      </c>
      <c r="S18" s="65" t="s">
        <v>17</v>
      </c>
      <c r="T18" s="12">
        <f>1-T17</f>
        <v>0.52900000000000014</v>
      </c>
      <c r="U18" s="12">
        <f t="shared" ref="U18:AG18" si="1">1-U17</f>
        <v>0.5296153846153846</v>
      </c>
      <c r="V18" s="12">
        <f t="shared" si="1"/>
        <v>0.53023076923076928</v>
      </c>
      <c r="W18" s="12">
        <f t="shared" si="1"/>
        <v>0.53084615384615397</v>
      </c>
      <c r="X18" s="12">
        <f t="shared" si="1"/>
        <v>0.53146153846153843</v>
      </c>
      <c r="Y18" s="12">
        <f t="shared" si="1"/>
        <v>0.53207692307692311</v>
      </c>
      <c r="Z18" s="12">
        <f t="shared" si="1"/>
        <v>0.5326923076923078</v>
      </c>
      <c r="AA18" s="12">
        <f t="shared" si="1"/>
        <v>0.53330769230769237</v>
      </c>
      <c r="AB18" s="12">
        <f t="shared" si="1"/>
        <v>0.53392307692307694</v>
      </c>
      <c r="AC18" s="12">
        <f t="shared" si="1"/>
        <v>0.53453846153846163</v>
      </c>
      <c r="AD18" s="12">
        <f t="shared" si="1"/>
        <v>0.5351538461538462</v>
      </c>
      <c r="AE18" s="12">
        <f t="shared" si="1"/>
        <v>0.53576923076923078</v>
      </c>
      <c r="AF18" s="12">
        <f t="shared" si="1"/>
        <v>0.53638461538461546</v>
      </c>
      <c r="AG18" s="12">
        <f t="shared" si="1"/>
        <v>0.53700000000000003</v>
      </c>
    </row>
    <row r="19" spans="1:33" ht="15.75" thickBot="1" x14ac:dyDescent="0.3">
      <c r="A19" s="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21"/>
    </row>
    <row r="20" spans="1:33" x14ac:dyDescent="0.25">
      <c r="A20" s="110" t="s">
        <v>18</v>
      </c>
      <c r="B20" s="61" t="s">
        <v>19</v>
      </c>
      <c r="C20" s="56"/>
      <c r="D20" s="91">
        <f>'North America'!D20+Europe!D20+APAC!D20+'Latin America'!D20+MEA!D20</f>
        <v>2112.4684812</v>
      </c>
      <c r="E20" s="91">
        <f>'North America'!E20+Europe!E20+APAC!E20+'Latin America'!E20+MEA!E20</f>
        <v>2231.9887308851371</v>
      </c>
      <c r="F20" s="91">
        <f>'North America'!F20+Europe!F20+APAC!F20+'Latin America'!F20+MEA!F20</f>
        <v>2524.4978903603087</v>
      </c>
      <c r="G20" s="91">
        <f>'North America'!G20+Europe!G20+APAC!G20+'Latin America'!G20+MEA!G20</f>
        <v>2858.814722962964</v>
      </c>
      <c r="H20" s="91">
        <f>'North America'!H20+Europe!H20+APAC!H20+'Latin America'!H20+MEA!H20</f>
        <v>3241.3520074184421</v>
      </c>
      <c r="I20" s="91">
        <f>'North America'!I20+Europe!I20+APAC!I20+'Latin America'!I20+MEA!I20</f>
        <v>3679.5800754641009</v>
      </c>
      <c r="J20" s="91">
        <f>'North America'!J20+Europe!J20+APAC!J20+'Latin America'!J20+MEA!J20</f>
        <v>4182.2152876906994</v>
      </c>
      <c r="K20" s="91">
        <f>'North America'!K20+Europe!K20+APAC!K20+'Latin America'!K20+MEA!K20</f>
        <v>4759.4447665186262</v>
      </c>
      <c r="L20" s="91">
        <f>'North America'!L20+Europe!L20+APAC!L20+'Latin America'!L20+MEA!L20</f>
        <v>5423.1948513590332</v>
      </c>
      <c r="M20" s="91">
        <f>'North America'!M20+Europe!M20+APAC!M20+'Latin America'!M20+MEA!M20</f>
        <v>6187.4523695327207</v>
      </c>
      <c r="N20" s="91">
        <f>'North America'!N20+Europe!N20+APAC!N20+'Latin America'!N20+MEA!N20</f>
        <v>7068.6498187403658</v>
      </c>
      <c r="O20" s="91">
        <f>'North America'!O20+Europe!O20+APAC!O20+'Latin America'!O20+MEA!O20</f>
        <v>8086.1280225892133</v>
      </c>
      <c r="P20" s="91">
        <f>'North America'!P20+Europe!P20+APAC!P20+'Latin America'!P20+MEA!P20</f>
        <v>9262.6928621902007</v>
      </c>
      <c r="Q20" s="91">
        <f>'North America'!Q20+Europe!Q20+APAC!Q20+'Latin America'!Q20+MEA!Q20</f>
        <v>10625.286444837519</v>
      </c>
      <c r="R20" s="78">
        <f>RATE(12,,-E20,Q20)</f>
        <v>0.13886099967918261</v>
      </c>
      <c r="S20" s="61" t="s">
        <v>19</v>
      </c>
      <c r="T20" s="12">
        <v>0.40099999999999997</v>
      </c>
      <c r="U20" s="12">
        <v>0.40265090533119946</v>
      </c>
      <c r="V20" s="12">
        <v>0.40430860739160734</v>
      </c>
      <c r="W20" s="12">
        <v>0.40597313416316017</v>
      </c>
      <c r="X20" s="12">
        <v>0.40764451374299493</v>
      </c>
      <c r="Y20" s="12">
        <v>0.40932277434392395</v>
      </c>
      <c r="Z20" s="12">
        <v>0.41100794429491083</v>
      </c>
      <c r="AA20" s="12">
        <v>0.4127000520415488</v>
      </c>
      <c r="AB20" s="12">
        <v>0.41439912614654062</v>
      </c>
      <c r="AC20" s="12">
        <v>0.41610519529018092</v>
      </c>
      <c r="AD20" s="12">
        <v>0.41781828827084017</v>
      </c>
      <c r="AE20" s="12">
        <v>0.4195384340054511</v>
      </c>
      <c r="AF20" s="12">
        <v>0.4212656615299965</v>
      </c>
      <c r="AG20" s="12">
        <v>0.42299999999999938</v>
      </c>
    </row>
    <row r="21" spans="1:33" ht="15.75" thickBot="1" x14ac:dyDescent="0.3">
      <c r="A21" s="111"/>
      <c r="B21" s="63" t="s">
        <v>20</v>
      </c>
      <c r="C21" s="51"/>
      <c r="D21" s="92">
        <f>'North America'!D21+Europe!D21+APAC!D21+'Latin America'!D21+MEA!D21</f>
        <v>3155.5327188000001</v>
      </c>
      <c r="E21" s="92">
        <f>'North America'!E21+Europe!E21+APAC!E21+'Latin America'!E21+MEA!E21</f>
        <v>3311.2466159948622</v>
      </c>
      <c r="F21" s="92">
        <f>'North America'!F21+Europe!F21+APAC!F21+'Latin America'!F21+MEA!F21</f>
        <v>3719.4896088103869</v>
      </c>
      <c r="G21" s="92">
        <f>'North America'!G21+Europe!G21+APAC!G21+'Latin America'!G21+MEA!G21</f>
        <v>4183.0668263072621</v>
      </c>
      <c r="H21" s="92">
        <f>'North America'!H21+Europe!H21+APAC!H21+'Latin America'!H21+MEA!H21</f>
        <v>4710.0661967818896</v>
      </c>
      <c r="I21" s="92">
        <f>'North America'!I21+Europe!I21+APAC!I21+'Latin America'!I21+MEA!I21</f>
        <v>5309.8539509270613</v>
      </c>
      <c r="J21" s="92">
        <f>'North America'!J21+Europe!J21+APAC!J21+'Latin America'!J21+MEA!J21</f>
        <v>5993.2943240890463</v>
      </c>
      <c r="K21" s="92">
        <f>'North America'!K21+Europe!K21+APAC!K21+'Latin America'!K21+MEA!K21</f>
        <v>6773.010204045484</v>
      </c>
      <c r="L21" s="92">
        <f>'North America'!L21+Europe!L21+APAC!L21+'Latin America'!L21+MEA!L21</f>
        <v>7663.6929077654204</v>
      </c>
      <c r="M21" s="92">
        <f>'North America'!M21+Europe!M21+APAC!M21+'Latin America'!M21+MEA!M21</f>
        <v>8682.471004574043</v>
      </c>
      <c r="N21" s="92">
        <f>'North America'!N21+Europe!N21+APAC!N21+'Latin America'!N21+MEA!N21</f>
        <v>9849.3502238003603</v>
      </c>
      <c r="O21" s="92">
        <f>'North America'!O21+Europe!O21+APAC!O21+'Latin America'!O21+MEA!O21</f>
        <v>11187.739082716686</v>
      </c>
      <c r="P21" s="92">
        <f>'North America'!P21+Europe!P21+APAC!P21+'Latin America'!P21+MEA!P21</f>
        <v>12725.078057824943</v>
      </c>
      <c r="Q21" s="92">
        <f>'North America'!Q21+Europe!Q21+APAC!Q21+'Latin America'!Q21+MEA!Q21</f>
        <v>14493.594039411972</v>
      </c>
      <c r="R21" s="79">
        <f>RATE(12,,-E21,Q21)</f>
        <v>0.13092042339493123</v>
      </c>
      <c r="S21" s="63" t="s">
        <v>20</v>
      </c>
      <c r="T21" s="12">
        <f>1-T20</f>
        <v>0.59899999999999998</v>
      </c>
      <c r="U21" s="12">
        <f t="shared" ref="U21:AG21" si="2">1-U20</f>
        <v>0.59734909466880048</v>
      </c>
      <c r="V21" s="12">
        <f t="shared" si="2"/>
        <v>0.59569139260839266</v>
      </c>
      <c r="W21" s="12">
        <f t="shared" si="2"/>
        <v>0.59402686583683983</v>
      </c>
      <c r="X21" s="12">
        <f t="shared" si="2"/>
        <v>0.59235548625700507</v>
      </c>
      <c r="Y21" s="12">
        <f t="shared" si="2"/>
        <v>0.59067722565607605</v>
      </c>
      <c r="Z21" s="12">
        <f t="shared" si="2"/>
        <v>0.58899205570508917</v>
      </c>
      <c r="AA21" s="12">
        <f t="shared" si="2"/>
        <v>0.5872999479584512</v>
      </c>
      <c r="AB21" s="12">
        <f t="shared" si="2"/>
        <v>0.58560087385345938</v>
      </c>
      <c r="AC21" s="12">
        <f t="shared" si="2"/>
        <v>0.58389480470981914</v>
      </c>
      <c r="AD21" s="12">
        <f t="shared" si="2"/>
        <v>0.58218171172915989</v>
      </c>
      <c r="AE21" s="12">
        <f t="shared" si="2"/>
        <v>0.5804615659945489</v>
      </c>
      <c r="AF21" s="12">
        <f t="shared" si="2"/>
        <v>0.57873433847000344</v>
      </c>
      <c r="AG21" s="12">
        <f t="shared" si="2"/>
        <v>0.57700000000000062</v>
      </c>
    </row>
    <row r="22" spans="1:33" ht="15.75" thickBot="1" x14ac:dyDescent="0.3">
      <c r="A22" s="2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21"/>
    </row>
    <row r="23" spans="1:33" x14ac:dyDescent="0.25">
      <c r="A23" s="110" t="s">
        <v>14</v>
      </c>
      <c r="B23" s="66" t="s">
        <v>21</v>
      </c>
      <c r="C23" s="57"/>
      <c r="D23" s="93">
        <f>'North America'!D23+Europe!D23+APAC!D23+'Latin America'!D23+MEA!D23</f>
        <v>1317.0002999999999</v>
      </c>
      <c r="E23" s="93">
        <f>'North America'!E23+Europe!E23+APAC!E23+'Latin America'!E23+MEA!E23</f>
        <v>1394.4337527883474</v>
      </c>
      <c r="F23" s="93">
        <f>'North America'!F23+Europe!F23+APAC!F23+'Latin America'!F23+MEA!F23</f>
        <v>1580.4878222306038</v>
      </c>
      <c r="G23" s="93">
        <f>'North America'!G23+Europe!G23+APAC!G23+'Latin America'!G23+MEA!G23</f>
        <v>1793.5455251800608</v>
      </c>
      <c r="H23" s="93">
        <f>'North America'!H23+Europe!H23+APAC!H23+'Latin America'!H23+MEA!H23</f>
        <v>2037.8060397570071</v>
      </c>
      <c r="I23" s="93">
        <f>'North America'!I23+Europe!I23+APAC!I23+'Latin America'!I23+MEA!I23</f>
        <v>2318.1693475553543</v>
      </c>
      <c r="J23" s="93">
        <f>'North America'!J23+Europe!J23+APAC!J23+'Latin America'!J23+MEA!J23</f>
        <v>2640.3623938096844</v>
      </c>
      <c r="K23" s="93">
        <f>'North America'!K23+Europe!K23+APAC!K23+'Latin America'!K23+MEA!K23</f>
        <v>3011.0897285411165</v>
      </c>
      <c r="L23" s="93">
        <f>'North America'!L23+Europe!L23+APAC!L23+'Latin America'!L23+MEA!L23</f>
        <v>3438.2137095085245</v>
      </c>
      <c r="M23" s="93">
        <f>'North America'!M23+Europe!M23+APAC!M23+'Latin America'!M23+MEA!M23</f>
        <v>3930.9704647425142</v>
      </c>
      <c r="N23" s="93">
        <f>'North America'!N23+Europe!N23+APAC!N23+'Latin America'!N23+MEA!N23</f>
        <v>4500.2291876089121</v>
      </c>
      <c r="O23" s="93">
        <f>'North America'!O23+Europe!O23+APAC!O23+'Latin America'!O23+MEA!O23</f>
        <v>5158.8040332245664</v>
      </c>
      <c r="P23" s="93">
        <f>'North America'!P23+Europe!P23+APAC!P23+'Latin America'!P23+MEA!P23</f>
        <v>5921.8299798941807</v>
      </c>
      <c r="Q23" s="93">
        <f>'North America'!Q23+Europe!Q23+APAC!Q23+'Latin America'!Q23+MEA!Q23</f>
        <v>6807.2166112316145</v>
      </c>
      <c r="R23" s="80">
        <f t="shared" ref="R23:R28" si="3">RATE(12,,-E23,Q23)</f>
        <v>0.1412504812063588</v>
      </c>
      <c r="S23" s="66" t="s">
        <v>21</v>
      </c>
      <c r="T23" s="12">
        <v>0.25</v>
      </c>
      <c r="U23" s="12">
        <v>0.25155593539307364</v>
      </c>
      <c r="V23" s="12">
        <v>0.25312155452593693</v>
      </c>
      <c r="W23" s="12">
        <v>0.25469691766768382</v>
      </c>
      <c r="X23" s="12">
        <v>0.25628208546250747</v>
      </c>
      <c r="Y23" s="12">
        <v>0.2578771189320348</v>
      </c>
      <c r="Z23" s="12">
        <v>0.25948207947767565</v>
      </c>
      <c r="AA23" s="12">
        <v>0.2610970288829863</v>
      </c>
      <c r="AB23" s="12">
        <v>0.26272202931604799</v>
      </c>
      <c r="AC23" s="12">
        <v>0.26435714333185978</v>
      </c>
      <c r="AD23" s="12">
        <v>0.26600243387474731</v>
      </c>
      <c r="AE23" s="12">
        <v>0.26765796428078514</v>
      </c>
      <c r="AF23" s="12">
        <v>0.26932379828023517</v>
      </c>
      <c r="AG23" s="12">
        <v>0.27100000000000013</v>
      </c>
    </row>
    <row r="24" spans="1:33" x14ac:dyDescent="0.25">
      <c r="A24" s="112"/>
      <c r="B24" s="67" t="s">
        <v>22</v>
      </c>
      <c r="C24" s="48"/>
      <c r="D24" s="94">
        <f>'North America'!D24+Europe!D24+APAC!D24+'Latin America'!D24+MEA!D24</f>
        <v>2001.8404560000004</v>
      </c>
      <c r="E24" s="94">
        <f>'North America'!E24+Europe!E24+APAC!E24+'Latin America'!E24+MEA!E24</f>
        <v>2111.4731627899928</v>
      </c>
      <c r="F24" s="94">
        <f>'North America'!F24+Europe!F24+APAC!F24+'Latin America'!F24+MEA!F24</f>
        <v>2384.0915291748393</v>
      </c>
      <c r="G24" s="94">
        <f>'North America'!G24+Europe!G24+APAC!G24+'Latin America'!G24+MEA!G24</f>
        <v>2695.1830512143142</v>
      </c>
      <c r="H24" s="94">
        <f>'North America'!H24+Europe!H24+APAC!H24+'Latin America'!H24+MEA!H24</f>
        <v>3050.582669162598</v>
      </c>
      <c r="I24" s="94">
        <f>'North America'!I24+Europe!I24+APAC!I24+'Latin America'!I24+MEA!I24</f>
        <v>3457.0782033991181</v>
      </c>
      <c r="J24" s="94">
        <f>'North America'!J24+Europe!J24+APAC!J24+'Latin America'!J24+MEA!J24</f>
        <v>3922.5787826665633</v>
      </c>
      <c r="K24" s="94">
        <f>'North America'!K24+Europe!K24+APAC!K24+'Latin America'!K24+MEA!K24</f>
        <v>4456.3154439741775</v>
      </c>
      <c r="L24" s="94">
        <f>'North America'!L24+Europe!L24+APAC!L24+'Latin America'!L24+MEA!L24</f>
        <v>5069.080484872633</v>
      </c>
      <c r="M24" s="94">
        <f>'North America'!M24+Europe!M24+APAC!M24+'Latin America'!M24+MEA!M24</f>
        <v>5773.5135753711038</v>
      </c>
      <c r="N24" s="94">
        <f>'North America'!N24+Europe!N24+APAC!N24+'Latin America'!N24+MEA!N24</f>
        <v>6584.4443886949957</v>
      </c>
      <c r="O24" s="94">
        <f>'North America'!O24+Europe!O24+APAC!O24+'Latin America'!O24+MEA!O24</f>
        <v>7519.3036650983295</v>
      </c>
      <c r="P24" s="94">
        <f>'North America'!P24+Europe!P24+APAC!P24+'Latin America'!P24+MEA!P24</f>
        <v>8598.6172781508139</v>
      </c>
      <c r="Q24" s="94">
        <f>'North America'!Q24+Europe!Q24+APAC!Q24+'Latin America'!Q24+MEA!Q24</f>
        <v>9846.6011498258013</v>
      </c>
      <c r="R24" s="81">
        <f t="shared" si="3"/>
        <v>0.13690732616746296</v>
      </c>
      <c r="S24" s="67" t="s">
        <v>22</v>
      </c>
      <c r="T24" s="12">
        <v>0.38</v>
      </c>
      <c r="U24" s="12">
        <v>0.38090988938047371</v>
      </c>
      <c r="V24" s="12">
        <v>0.38182195744169661</v>
      </c>
      <c r="W24" s="12">
        <v>0.38273620940040159</v>
      </c>
      <c r="X24" s="12">
        <v>0.38365265048581265</v>
      </c>
      <c r="Y24" s="12">
        <v>0.38457128593967477</v>
      </c>
      <c r="Z24" s="12">
        <v>0.38549212101628438</v>
      </c>
      <c r="AA24" s="12">
        <v>0.38641516098251855</v>
      </c>
      <c r="AB24" s="12">
        <v>0.38734041111786593</v>
      </c>
      <c r="AC24" s="12">
        <v>0.38826787671445667</v>
      </c>
      <c r="AD24" s="12">
        <v>0.38919756307709236</v>
      </c>
      <c r="AE24" s="12">
        <v>0.39012947552327681</v>
      </c>
      <c r="AF24" s="12">
        <v>0.3910636193832463</v>
      </c>
      <c r="AG24" s="12">
        <v>0.39200000000000002</v>
      </c>
    </row>
    <row r="25" spans="1:33" x14ac:dyDescent="0.25">
      <c r="A25" s="112"/>
      <c r="B25" s="68" t="s">
        <v>23</v>
      </c>
      <c r="C25" s="48"/>
      <c r="D25" s="95">
        <f>'North America'!D25+Europe!D25+APAC!D25+'Latin America'!D25+MEA!D25</f>
        <v>700.64415959999985</v>
      </c>
      <c r="E25" s="95">
        <f>'North America'!E25+Europe!E25+APAC!E25+'Latin America'!E25+MEA!E25</f>
        <v>737.71891725268279</v>
      </c>
      <c r="F25" s="95">
        <f>'North America'!F25+Europe!F25+APAC!F25+'Latin America'!F25+MEA!F25</f>
        <v>831.50638604360233</v>
      </c>
      <c r="G25" s="95">
        <f>'North America'!G25+Europe!G25+APAC!G25+'Latin America'!G25+MEA!G25</f>
        <v>938.35730918145521</v>
      </c>
      <c r="H25" s="95">
        <f>'North America'!H25+Europe!H25+APAC!H25+'Latin America'!H25+MEA!H25</f>
        <v>1060.2299858038416</v>
      </c>
      <c r="I25" s="95">
        <f>'North America'!I25+Europe!I25+APAC!I25+'Latin America'!I25+MEA!I25</f>
        <v>1199.3993198398666</v>
      </c>
      <c r="J25" s="95">
        <f>'North America'!J25+Europe!J25+APAC!J25+'Latin America'!J25+MEA!J25</f>
        <v>1358.5123134009186</v>
      </c>
      <c r="K25" s="95">
        <f>'North America'!K25+Europe!K25+APAC!K25+'Latin America'!K25+MEA!K25</f>
        <v>1540.6540836278166</v>
      </c>
      <c r="L25" s="95">
        <f>'North America'!L25+Europe!L25+APAC!L25+'Latin America'!L25+MEA!L25</f>
        <v>1749.4265412080654</v>
      </c>
      <c r="M25" s="95">
        <f>'North America'!M25+Europe!M25+APAC!M25+'Latin America'!M25+MEA!M25</f>
        <v>1989.0423293067618</v>
      </c>
      <c r="N25" s="95">
        <f>'North America'!N25+Europe!N25+APAC!N25+'Latin America'!N25+MEA!N25</f>
        <v>2264.4371865650255</v>
      </c>
      <c r="O25" s="95">
        <f>'North America'!O25+Europe!O25+APAC!O25+'Latin America'!O25+MEA!O25</f>
        <v>2581.4045918969523</v>
      </c>
      <c r="P25" s="95">
        <f>'North America'!P25+Europe!P25+APAC!P25+'Latin America'!P25+MEA!P25</f>
        <v>2946.7574029910065</v>
      </c>
      <c r="Q25" s="95">
        <f>'North America'!Q25+Europe!Q25+APAC!Q25+'Latin America'!Q25+MEA!Q25</f>
        <v>3368.5222533554047</v>
      </c>
      <c r="R25" s="81">
        <f t="shared" si="3"/>
        <v>0.13491248866626071</v>
      </c>
      <c r="S25" s="68" t="s">
        <v>23</v>
      </c>
      <c r="T25" s="74">
        <v>0.34999999999999987</v>
      </c>
      <c r="U25" s="74">
        <v>0.34938588387166564</v>
      </c>
      <c r="V25" s="74">
        <v>0.34877284528224306</v>
      </c>
      <c r="W25" s="74">
        <v>0.34816088234106346</v>
      </c>
      <c r="X25" s="74">
        <v>0.34754999316077562</v>
      </c>
      <c r="Y25" s="74">
        <v>0.34694017585733994</v>
      </c>
      <c r="Z25" s="74">
        <v>0.34633142855002247</v>
      </c>
      <c r="AA25" s="74">
        <v>0.34572374936138933</v>
      </c>
      <c r="AB25" s="74">
        <v>0.34511713641730069</v>
      </c>
      <c r="AC25" s="74">
        <v>0.34451158784690528</v>
      </c>
      <c r="AD25" s="74">
        <v>0.34390710178263434</v>
      </c>
      <c r="AE25" s="74">
        <v>0.34330367636019604</v>
      </c>
      <c r="AF25" s="74">
        <v>0.34270130971856966</v>
      </c>
      <c r="AG25" s="74">
        <v>0.34209999999999979</v>
      </c>
    </row>
    <row r="26" spans="1:33" x14ac:dyDescent="0.25">
      <c r="A26" s="112"/>
      <c r="B26" s="68" t="s">
        <v>24</v>
      </c>
      <c r="C26" s="48"/>
      <c r="D26" s="95">
        <f>'North America'!D26+Europe!D26+APAC!D26+'Latin America'!D26+MEA!D26</f>
        <v>560.51532768000015</v>
      </c>
      <c r="E26" s="95">
        <f>'North America'!E26+Europe!E26+APAC!E26+'Latin America'!E26+MEA!E26</f>
        <v>593.28001540832361</v>
      </c>
      <c r="F26" s="95">
        <f>'North America'!F26+Europe!F26+APAC!F26+'Latin America'!F26+MEA!F26</f>
        <v>672.22274114880622</v>
      </c>
      <c r="G26" s="95">
        <f>'North America'!G26+Europe!G26+APAC!G26+'Latin America'!G26+MEA!G26</f>
        <v>762.59624929695372</v>
      </c>
      <c r="H26" s="95">
        <f>'North America'!H26+Europe!H26+APAC!H26+'Latin America'!H26+MEA!H26</f>
        <v>866.17435014612875</v>
      </c>
      <c r="I26" s="95">
        <f>'North America'!I26+Europe!I26+APAC!I26+'Latin America'!I26+MEA!I26</f>
        <v>985.02634583474082</v>
      </c>
      <c r="J26" s="95">
        <f>'North America'!J26+Europe!J26+APAC!J26+'Latin America'!J26+MEA!J26</f>
        <v>1121.5701432047454</v>
      </c>
      <c r="K26" s="95">
        <f>'North America'!K26+Europe!K26+APAC!K26+'Latin America'!K26+MEA!K26</f>
        <v>1278.6356592996244</v>
      </c>
      <c r="L26" s="95">
        <f>'North America'!L26+Europe!L26+APAC!L26+'Latin America'!L26+MEA!L26</f>
        <v>1459.5406530383314</v>
      </c>
      <c r="M26" s="95">
        <f>'North America'!M26+Europe!M26+APAC!M26+'Latin America'!M26+MEA!M26</f>
        <v>1668.1815850780238</v>
      </c>
      <c r="N26" s="95">
        <f>'North America'!N26+Europe!N26+APAC!N26+'Latin America'!N26+MEA!N26</f>
        <v>1909.1426845345752</v>
      </c>
      <c r="O26" s="95">
        <f>'North America'!O26+Europe!O26+APAC!O26+'Latin America'!O26+MEA!O26</f>
        <v>2187.8271122163874</v>
      </c>
      <c r="P26" s="95">
        <f>'North America'!P26+Europe!P26+APAC!P26+'Latin America'!P26+MEA!P26</f>
        <v>2510.6149880894095</v>
      </c>
      <c r="Q26" s="95">
        <f>'North America'!Q26+Europe!Q26+APAC!Q26+'Latin America'!Q26+MEA!Q26</f>
        <v>2885.0541368989561</v>
      </c>
      <c r="R26" s="81">
        <f t="shared" si="3"/>
        <v>0.14088320601583409</v>
      </c>
      <c r="S26" s="68" t="s">
        <v>24</v>
      </c>
      <c r="T26" s="74">
        <v>0.28000000000000003</v>
      </c>
      <c r="U26" s="74">
        <v>0.28097918830490543</v>
      </c>
      <c r="V26" s="74">
        <v>0.28196180093029821</v>
      </c>
      <c r="W26" s="74">
        <v>0.28294784985137333</v>
      </c>
      <c r="X26" s="74">
        <v>0.28393734708520407</v>
      </c>
      <c r="Y26" s="74">
        <v>0.28493030469088876</v>
      </c>
      <c r="Z26" s="74">
        <v>0.28592673476969749</v>
      </c>
      <c r="AA26" s="74">
        <v>0.28692664946521995</v>
      </c>
      <c r="AB26" s="74">
        <v>0.28793006096351298</v>
      </c>
      <c r="AC26" s="74">
        <v>0.28893698149324931</v>
      </c>
      <c r="AD26" s="74">
        <v>0.28994742332586665</v>
      </c>
      <c r="AE26" s="74">
        <v>0.29096139877571725</v>
      </c>
      <c r="AF26" s="74">
        <v>0.29197892020021765</v>
      </c>
      <c r="AG26" s="74">
        <v>0.29299999999999965</v>
      </c>
    </row>
    <row r="27" spans="1:33" x14ac:dyDescent="0.25">
      <c r="A27" s="112"/>
      <c r="B27" s="68" t="s">
        <v>25</v>
      </c>
      <c r="C27" s="48"/>
      <c r="D27" s="95">
        <f>'North America'!D27+Europe!D27+APAC!D27+'Latin America'!D27+MEA!D27</f>
        <v>740.68096872000024</v>
      </c>
      <c r="E27" s="95">
        <f>'North America'!E27+Europe!E27+APAC!E27+'Latin America'!E27+MEA!E27</f>
        <v>780.47423012898628</v>
      </c>
      <c r="F27" s="95">
        <f>'North America'!F27+Europe!F27+APAC!F27+'Latin America'!F27+MEA!F27</f>
        <v>880.36240198243036</v>
      </c>
      <c r="G27" s="95">
        <f>'North America'!G27+Europe!G27+APAC!G27+'Latin America'!G27+MEA!G27</f>
        <v>994.22949273590484</v>
      </c>
      <c r="H27" s="95">
        <f>'North America'!H27+Europe!H27+APAC!H27+'Latin America'!H27+MEA!H27</f>
        <v>1124.1783332126274</v>
      </c>
      <c r="I27" s="95">
        <f>'North America'!I27+Europe!I27+APAC!I27+'Latin America'!I27+MEA!I27</f>
        <v>1272.65253772451</v>
      </c>
      <c r="J27" s="95">
        <f>'North America'!J27+Europe!J27+APAC!J27+'Latin America'!J27+MEA!J27</f>
        <v>1442.4963260608988</v>
      </c>
      <c r="K27" s="95">
        <f>'North America'!K27+Europe!K27+APAC!K27+'Latin America'!K27+MEA!K27</f>
        <v>1637.0257010467358</v>
      </c>
      <c r="L27" s="95">
        <f>'North America'!L27+Europe!L27+APAC!L27+'Latin America'!L27+MEA!L27</f>
        <v>1860.1132906262371</v>
      </c>
      <c r="M27" s="95">
        <f>'North America'!M27+Europe!M27+APAC!M27+'Latin America'!M27+MEA!M27</f>
        <v>2116.2896609863169</v>
      </c>
      <c r="N27" s="95">
        <f>'North America'!N27+Europe!N27+APAC!N27+'Latin America'!N27+MEA!N27</f>
        <v>2410.8645175953943</v>
      </c>
      <c r="O27" s="95">
        <f>'North America'!O27+Europe!O27+APAC!O27+'Latin America'!O27+MEA!O27</f>
        <v>2750.0719609849884</v>
      </c>
      <c r="P27" s="95">
        <f>'North America'!P27+Europe!P27+APAC!P27+'Latin America'!P27+MEA!P27</f>
        <v>3141.2448870703993</v>
      </c>
      <c r="Q27" s="95">
        <f>'North America'!Q27+Europe!Q27+APAC!Q27+'Latin America'!Q27+MEA!Q27</f>
        <v>3593.0247595714409</v>
      </c>
      <c r="R27" s="81">
        <f t="shared" si="3"/>
        <v>0.135686517890342</v>
      </c>
      <c r="S27" s="68" t="s">
        <v>25</v>
      </c>
      <c r="T27" s="74">
        <f>1-SUM(T25:T26)</f>
        <v>0.37000000000000011</v>
      </c>
      <c r="U27" s="74">
        <f t="shared" ref="U27:AG27" si="4">1-SUM(U25:U26)</f>
        <v>0.36963492782342899</v>
      </c>
      <c r="V27" s="74">
        <f t="shared" si="4"/>
        <v>0.36926535378745873</v>
      </c>
      <c r="W27" s="74">
        <f t="shared" si="4"/>
        <v>0.36889126780756321</v>
      </c>
      <c r="X27" s="74">
        <f t="shared" si="4"/>
        <v>0.36851265975402026</v>
      </c>
      <c r="Y27" s="74">
        <f t="shared" si="4"/>
        <v>0.3681295194517713</v>
      </c>
      <c r="Z27" s="74">
        <f t="shared" si="4"/>
        <v>0.36774183668028004</v>
      </c>
      <c r="AA27" s="74">
        <f t="shared" si="4"/>
        <v>0.36734960117339077</v>
      </c>
      <c r="AB27" s="74">
        <f t="shared" si="4"/>
        <v>0.36695280261918639</v>
      </c>
      <c r="AC27" s="74">
        <f t="shared" si="4"/>
        <v>0.36655143065984541</v>
      </c>
      <c r="AD27" s="74">
        <f t="shared" si="4"/>
        <v>0.36614547489149896</v>
      </c>
      <c r="AE27" s="74">
        <f t="shared" si="4"/>
        <v>0.36573492486408665</v>
      </c>
      <c r="AF27" s="74">
        <f t="shared" si="4"/>
        <v>0.36531977008121275</v>
      </c>
      <c r="AG27" s="74">
        <f t="shared" si="4"/>
        <v>0.36490000000000056</v>
      </c>
    </row>
    <row r="28" spans="1:33" ht="15.75" thickBot="1" x14ac:dyDescent="0.3">
      <c r="A28" s="111"/>
      <c r="B28" s="69" t="s">
        <v>26</v>
      </c>
      <c r="C28" s="58"/>
      <c r="D28" s="96">
        <f>'North America'!D28+Europe!D28+APAC!D28+'Latin America'!D28+MEA!D28</f>
        <v>1949.1604440000001</v>
      </c>
      <c r="E28" s="96">
        <f>'North America'!E28+Europe!E28+APAC!E28+'Latin America'!E28+MEA!E28</f>
        <v>2037.3284313016604</v>
      </c>
      <c r="F28" s="96">
        <f>'North America'!F28+Europe!F28+APAC!F28+'Latin America'!F28+MEA!F28</f>
        <v>2279.408147765253</v>
      </c>
      <c r="G28" s="96">
        <f>'North America'!G28+Europe!G28+APAC!G28+'Latin America'!G28+MEA!G28</f>
        <v>2553.1529728758519</v>
      </c>
      <c r="H28" s="96">
        <f>'North America'!H28+Europe!H28+APAC!H28+'Latin America'!H28+MEA!H28</f>
        <v>2863.0294952807271</v>
      </c>
      <c r="I28" s="96">
        <f>'North America'!I28+Europe!I28+APAC!I28+'Latin America'!I28+MEA!I28</f>
        <v>3214.1864754366902</v>
      </c>
      <c r="J28" s="96">
        <f>'North America'!J28+Europe!J28+APAC!J28+'Latin America'!J28+MEA!J28</f>
        <v>3612.568435303499</v>
      </c>
      <c r="K28" s="96">
        <f>'North America'!K28+Europe!K28+APAC!K28+'Latin America'!K28+MEA!K28</f>
        <v>4065.0497980488171</v>
      </c>
      <c r="L28" s="96">
        <f>'North America'!L28+Europe!L28+APAC!L28+'Latin America'!L28+MEA!L28</f>
        <v>4579.5935647432962</v>
      </c>
      <c r="M28" s="96">
        <f>'North America'!M28+Europe!M28+APAC!M28+'Latin America'!M28+MEA!M28</f>
        <v>5165.4393339931485</v>
      </c>
      <c r="N28" s="96">
        <f>'North America'!N28+Europe!N28+APAC!N28+'Latin America'!N28+MEA!N28</f>
        <v>5833.3264662368201</v>
      </c>
      <c r="O28" s="96">
        <f>'North America'!O28+Europe!O28+APAC!O28+'Latin America'!O28+MEA!O28</f>
        <v>6595.7594069830047</v>
      </c>
      <c r="P28" s="96">
        <f>'North America'!P28+Europe!P28+APAC!P28+'Latin America'!P28+MEA!P28</f>
        <v>7467.3236619701538</v>
      </c>
      <c r="Q28" s="96">
        <f>'North America'!Q28+Europe!Q28+APAC!Q28+'Latin America'!Q28+MEA!Q28</f>
        <v>8465.0627231920753</v>
      </c>
      <c r="R28" s="82">
        <f t="shared" si="3"/>
        <v>0.12602343151240716</v>
      </c>
      <c r="S28" s="69" t="s">
        <v>26</v>
      </c>
      <c r="T28" s="12">
        <f>1-SUM(T23+T24)</f>
        <v>0.37</v>
      </c>
      <c r="U28" s="12">
        <f t="shared" ref="U28:AG28" si="5">1-SUM(U23+U24)</f>
        <v>0.36753417522645271</v>
      </c>
      <c r="V28" s="12">
        <f t="shared" si="5"/>
        <v>0.36505648803236646</v>
      </c>
      <c r="W28" s="12">
        <f t="shared" si="5"/>
        <v>0.36256687293191459</v>
      </c>
      <c r="X28" s="12">
        <f t="shared" si="5"/>
        <v>0.36006526405167993</v>
      </c>
      <c r="Y28" s="12">
        <f t="shared" si="5"/>
        <v>0.35755159512829038</v>
      </c>
      <c r="Z28" s="12">
        <f t="shared" si="5"/>
        <v>0.35502579950603996</v>
      </c>
      <c r="AA28" s="12">
        <f t="shared" si="5"/>
        <v>0.35248781013449515</v>
      </c>
      <c r="AB28" s="12">
        <f t="shared" si="5"/>
        <v>0.34993755956608608</v>
      </c>
      <c r="AC28" s="12">
        <f t="shared" si="5"/>
        <v>0.3473749799536836</v>
      </c>
      <c r="AD28" s="12">
        <f t="shared" si="5"/>
        <v>0.34480000304816039</v>
      </c>
      <c r="AE28" s="12">
        <f t="shared" si="5"/>
        <v>0.34221256019593804</v>
      </c>
      <c r="AF28" s="12">
        <f t="shared" si="5"/>
        <v>0.33961258233651859</v>
      </c>
      <c r="AG28" s="12">
        <f t="shared" si="5"/>
        <v>0.33699999999999986</v>
      </c>
    </row>
    <row r="29" spans="1:33" ht="15.75" thickBot="1" x14ac:dyDescent="0.3">
      <c r="A29" s="2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21"/>
    </row>
    <row r="30" spans="1:33" x14ac:dyDescent="0.25">
      <c r="A30" s="113" t="s">
        <v>27</v>
      </c>
      <c r="B30" s="61" t="s">
        <v>28</v>
      </c>
      <c r="C30" s="56"/>
      <c r="D30" s="91">
        <f>'North America'!D30+Europe!D30+APAC!D30+'Latin America'!D30+MEA!D30</f>
        <v>2112.4684812</v>
      </c>
      <c r="E30" s="91">
        <f>'North America'!E30+Europe!E30+APAC!E30+'Latin America'!E30+MEA!E30</f>
        <v>2231.9887308851371</v>
      </c>
      <c r="F30" s="91">
        <f>'North America'!F30+Europe!F30+APAC!F30+'Latin America'!F30+MEA!F30</f>
        <v>2524.4978903603087</v>
      </c>
      <c r="G30" s="91">
        <f>'North America'!G30+Europe!G30+APAC!G30+'Latin America'!G30+MEA!G30</f>
        <v>2858.814722962964</v>
      </c>
      <c r="H30" s="91">
        <f>'North America'!H30+Europe!H30+APAC!H30+'Latin America'!H30+MEA!H30</f>
        <v>3241.3520074184421</v>
      </c>
      <c r="I30" s="91">
        <f>'North America'!I30+Europe!I30+APAC!I30+'Latin America'!I30+MEA!I30</f>
        <v>3679.5800754641009</v>
      </c>
      <c r="J30" s="91">
        <f>'North America'!J30+Europe!J30+APAC!J30+'Latin America'!J30+MEA!J30</f>
        <v>4182.2152876906994</v>
      </c>
      <c r="K30" s="91">
        <f>'North America'!K30+Europe!K30+APAC!K30+'Latin America'!K30+MEA!K30</f>
        <v>4759.4447665186262</v>
      </c>
      <c r="L30" s="91">
        <f>'North America'!L30+Europe!L30+APAC!L30+'Latin America'!L30+MEA!L30</f>
        <v>5423.1948513590332</v>
      </c>
      <c r="M30" s="91">
        <f>'North America'!M30+Europe!M30+APAC!M30+'Latin America'!M30+MEA!M30</f>
        <v>6187.4523695327207</v>
      </c>
      <c r="N30" s="91">
        <f>'North America'!N30+Europe!N30+APAC!N30+'Latin America'!N30+MEA!N30</f>
        <v>7068.6498187403658</v>
      </c>
      <c r="O30" s="91">
        <f>'North America'!O30+Europe!O30+APAC!O30+'Latin America'!O30+MEA!O30</f>
        <v>8086.1280225892133</v>
      </c>
      <c r="P30" s="91">
        <f>'North America'!P30+Europe!P30+APAC!P30+'Latin America'!P30+MEA!P30</f>
        <v>9262.6928621902007</v>
      </c>
      <c r="Q30" s="91">
        <f>'North America'!Q30+Europe!Q30+APAC!Q30+'Latin America'!Q30+MEA!Q30</f>
        <v>10625.286444837519</v>
      </c>
      <c r="R30" s="78">
        <f>RATE(12,,-E30,Q30)</f>
        <v>0.13886099967918261</v>
      </c>
      <c r="S30" s="61" t="s">
        <v>28</v>
      </c>
      <c r="T30" s="12">
        <v>0.40099999999999997</v>
      </c>
      <c r="U30" s="12">
        <v>0.40265090533119946</v>
      </c>
      <c r="V30" s="12">
        <v>0.40430860739160734</v>
      </c>
      <c r="W30" s="12">
        <v>0.40597313416316017</v>
      </c>
      <c r="X30" s="12">
        <v>0.40764451374299493</v>
      </c>
      <c r="Y30" s="12">
        <v>0.40932277434392395</v>
      </c>
      <c r="Z30" s="12">
        <v>0.41100794429491083</v>
      </c>
      <c r="AA30" s="12">
        <v>0.4127000520415488</v>
      </c>
      <c r="AB30" s="12">
        <v>0.41439912614654062</v>
      </c>
      <c r="AC30" s="12">
        <v>0.41610519529018092</v>
      </c>
      <c r="AD30" s="12">
        <v>0.41781828827084017</v>
      </c>
      <c r="AE30" s="12">
        <v>0.4195384340054511</v>
      </c>
      <c r="AF30" s="12">
        <v>0.4212656615299965</v>
      </c>
      <c r="AG30" s="12">
        <v>0.42299999999999938</v>
      </c>
    </row>
    <row r="31" spans="1:33" x14ac:dyDescent="0.25">
      <c r="A31" s="114"/>
      <c r="B31" s="62" t="s">
        <v>29</v>
      </c>
      <c r="C31" s="47"/>
      <c r="D31" s="97">
        <f>'North America'!D31+Europe!D31+APAC!D31+'Latin America'!D31+MEA!D31</f>
        <v>2270.5085171999999</v>
      </c>
      <c r="E31" s="97">
        <f>'North America'!E31+Europe!E31+APAC!E31+'Latin America'!E31+MEA!E31</f>
        <v>2393.7705013312052</v>
      </c>
      <c r="F31" s="97">
        <f>'North America'!F31+Europe!F31+APAC!F31+'Latin America'!F31+MEA!F31</f>
        <v>2701.6130228081784</v>
      </c>
      <c r="G31" s="97">
        <f>'North America'!G31+Europe!G31+APAC!G31+'Latin America'!G31+MEA!G31</f>
        <v>3052.7536191003837</v>
      </c>
      <c r="H31" s="97">
        <f>'North America'!H31+Europe!H31+APAC!H31+'Latin America'!H31+MEA!H31</f>
        <v>3453.7393438803329</v>
      </c>
      <c r="I31" s="97">
        <f>'North America'!I31+Europe!I31+APAC!I31+'Latin America'!I31+MEA!I31</f>
        <v>3912.1836588479782</v>
      </c>
      <c r="J31" s="97">
        <f>'North America'!J31+Europe!J31+APAC!J31+'Latin America'!J31+MEA!J31</f>
        <v>4436.9545200547291</v>
      </c>
      <c r="K31" s="97">
        <f>'North America'!K31+Europe!K31+APAC!K31+'Latin America'!K31+MEA!K31</f>
        <v>5038.398323770014</v>
      </c>
      <c r="L31" s="97">
        <f>'North America'!L31+Europe!L31+APAC!L31+'Latin America'!L31+MEA!L31</f>
        <v>5728.6070343029778</v>
      </c>
      <c r="M31" s="97">
        <f>'North America'!M31+Europe!M31+APAC!M31+'Latin America'!M31+MEA!M31</f>
        <v>6521.7374008966881</v>
      </c>
      <c r="N31" s="97">
        <f>'North America'!N31+Europe!N31+APAC!N31+'Latin America'!N31+MEA!N31</f>
        <v>7434.3931163664492</v>
      </c>
      <c r="O31" s="97">
        <f>'North America'!O31+Europe!O31+APAC!O31+'Latin America'!O31+MEA!O31</f>
        <v>8486.0831626257877</v>
      </c>
      <c r="P31" s="97">
        <f>'North America'!P31+Europe!P31+APAC!P31+'Latin America'!P31+MEA!P31</f>
        <v>9699.7725351295649</v>
      </c>
      <c r="Q31" s="97">
        <f>'North America'!Q31+Europe!Q31+APAC!Q31+'Latin America'!Q31+MEA!Q31</f>
        <v>11102.545174038283</v>
      </c>
      <c r="R31" s="83">
        <f>RATE(12,,-E31,Q31)</f>
        <v>0.13639244169453998</v>
      </c>
      <c r="S31" s="62" t="s">
        <v>29</v>
      </c>
      <c r="T31" s="12">
        <v>0.43099999999999999</v>
      </c>
      <c r="U31" s="12">
        <v>0.43183634674261745</v>
      </c>
      <c r="V31" s="12">
        <v>0.43267431639909548</v>
      </c>
      <c r="W31" s="12">
        <v>0.43351391211866536</v>
      </c>
      <c r="X31" s="12">
        <v>0.43435513705666956</v>
      </c>
      <c r="Y31" s="12">
        <v>0.43519799437457324</v>
      </c>
      <c r="Z31" s="12">
        <v>0.43604248723997657</v>
      </c>
      <c r="AA31" s="12">
        <v>0.43688861882662616</v>
      </c>
      <c r="AB31" s="12">
        <v>0.43773639231442729</v>
      </c>
      <c r="AC31" s="12">
        <v>0.43858581088945586</v>
      </c>
      <c r="AD31" s="12">
        <v>0.43943687774397006</v>
      </c>
      <c r="AE31" s="12">
        <v>0.44028959607642287</v>
      </c>
      <c r="AF31" s="12">
        <v>0.44114396909147369</v>
      </c>
      <c r="AG31" s="12">
        <v>0.44200000000000028</v>
      </c>
    </row>
    <row r="32" spans="1:33" ht="15.75" thickBot="1" x14ac:dyDescent="0.3">
      <c r="A32" s="115"/>
      <c r="B32" s="63" t="s">
        <v>30</v>
      </c>
      <c r="C32" s="51"/>
      <c r="D32" s="92">
        <f>'North America'!D32+Europe!D32+APAC!D32+'Latin America'!D32+MEA!D32</f>
        <v>885.0242016000002</v>
      </c>
      <c r="E32" s="92">
        <f>'North America'!E32+Europe!E32+APAC!E32+'Latin America'!E32+MEA!E32</f>
        <v>917.47611466365754</v>
      </c>
      <c r="F32" s="92">
        <f>'North America'!F32+Europe!F32+APAC!F32+'Latin America'!F32+MEA!F32</f>
        <v>1017.8765860022082</v>
      </c>
      <c r="G32" s="92">
        <f>'North America'!G32+Europe!G32+APAC!G32+'Latin America'!G32+MEA!G32</f>
        <v>1130.3132072068784</v>
      </c>
      <c r="H32" s="92">
        <f>'North America'!H32+Europe!H32+APAC!H32+'Latin America'!H32+MEA!H32</f>
        <v>1256.3268529015568</v>
      </c>
      <c r="I32" s="92">
        <f>'North America'!I32+Europe!I32+APAC!I32+'Latin America'!I32+MEA!I32</f>
        <v>1397.6702920790822</v>
      </c>
      <c r="J32" s="92">
        <f>'North America'!J32+Europe!J32+APAC!J32+'Latin America'!J32+MEA!J32</f>
        <v>1556.339804034317</v>
      </c>
      <c r="K32" s="92">
        <f>'North America'!K32+Europe!K32+APAC!K32+'Latin America'!K32+MEA!K32</f>
        <v>1734.6118802754697</v>
      </c>
      <c r="L32" s="92">
        <f>'North America'!L32+Europe!L32+APAC!L32+'Latin America'!L32+MEA!L32</f>
        <v>1935.0858734624428</v>
      </c>
      <c r="M32" s="92">
        <f>'North America'!M32+Europe!M32+APAC!M32+'Latin America'!M32+MEA!M32</f>
        <v>2160.7336036773545</v>
      </c>
      <c r="N32" s="92">
        <f>'North America'!N32+Europe!N32+APAC!N32+'Latin America'!N32+MEA!N32</f>
        <v>2414.9571074339096</v>
      </c>
      <c r="O32" s="92">
        <f>'North America'!O32+Europe!O32+APAC!O32+'Latin America'!O32+MEA!O32</f>
        <v>2701.6559200908987</v>
      </c>
      <c r="P32" s="92">
        <f>'North America'!P32+Europe!P32+APAC!P32+'Latin America'!P32+MEA!P32</f>
        <v>3025.3055226953816</v>
      </c>
      <c r="Q32" s="92">
        <f>'North America'!Q32+Europe!Q32+APAC!Q32+'Latin America'!Q32+MEA!Q32</f>
        <v>3391.0488653736902</v>
      </c>
      <c r="R32" s="79">
        <f>RATE(12,,-E32,Q32)</f>
        <v>0.11509432805266299</v>
      </c>
      <c r="S32" s="63" t="s">
        <v>30</v>
      </c>
      <c r="T32" s="12">
        <f>1-SUM(T30:T31)</f>
        <v>0.16800000000000004</v>
      </c>
      <c r="U32" s="12">
        <f t="shared" ref="U32:AG32" si="6">1-SUM(U30:U31)</f>
        <v>0.16551274792618309</v>
      </c>
      <c r="V32" s="12">
        <f t="shared" si="6"/>
        <v>0.16301707620929717</v>
      </c>
      <c r="W32" s="12">
        <f t="shared" si="6"/>
        <v>0.16051295371817442</v>
      </c>
      <c r="X32" s="12">
        <f t="shared" si="6"/>
        <v>0.15800034920033545</v>
      </c>
      <c r="Y32" s="12">
        <f t="shared" si="6"/>
        <v>0.15547923128150276</v>
      </c>
      <c r="Z32" s="12">
        <f t="shared" si="6"/>
        <v>0.15294956846511254</v>
      </c>
      <c r="AA32" s="12">
        <f t="shared" si="6"/>
        <v>0.15041132913182498</v>
      </c>
      <c r="AB32" s="12">
        <f t="shared" si="6"/>
        <v>0.14786448153903209</v>
      </c>
      <c r="AC32" s="12">
        <f t="shared" si="6"/>
        <v>0.14530899382036322</v>
      </c>
      <c r="AD32" s="12">
        <f t="shared" si="6"/>
        <v>0.14274483398518978</v>
      </c>
      <c r="AE32" s="12">
        <f t="shared" si="6"/>
        <v>0.14017196991812608</v>
      </c>
      <c r="AF32" s="12">
        <f t="shared" si="6"/>
        <v>0.13759036937852986</v>
      </c>
      <c r="AG32" s="12">
        <f t="shared" si="6"/>
        <v>0.13500000000000034</v>
      </c>
    </row>
  </sheetData>
  <mergeCells count="6">
    <mergeCell ref="A30:A32"/>
    <mergeCell ref="A2:R2"/>
    <mergeCell ref="A14:A15"/>
    <mergeCell ref="A17:A18"/>
    <mergeCell ref="A20:A21"/>
    <mergeCell ref="A23:A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FE7A-2E05-4273-9563-C535CB709046}">
  <dimension ref="A2:AG239"/>
  <sheetViews>
    <sheetView showGridLines="0" topLeftCell="A208" zoomScaleNormal="100" workbookViewId="0">
      <selection activeCell="D227" sqref="D227"/>
    </sheetView>
  </sheetViews>
  <sheetFormatPr defaultRowHeight="15" x14ac:dyDescent="0.25"/>
  <cols>
    <col min="1" max="1" width="15.28515625" customWidth="1"/>
    <col min="2" max="2" width="26.140625" customWidth="1"/>
    <col min="17" max="17" width="11.7109375" customWidth="1"/>
    <col min="18" max="18" width="26.42578125" customWidth="1"/>
    <col min="19" max="19" width="24.28515625" customWidth="1"/>
  </cols>
  <sheetData>
    <row r="2" spans="1:33" ht="26.25" x14ac:dyDescent="0.4">
      <c r="A2" s="109" t="s">
        <v>55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70"/>
    </row>
    <row r="3" spans="1:33" ht="26.25" x14ac:dyDescent="0.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70"/>
    </row>
    <row r="4" spans="1:33" ht="26.25" x14ac:dyDescent="0.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70"/>
    </row>
    <row r="5" spans="1:33" ht="26.25" x14ac:dyDescent="0.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70"/>
    </row>
    <row r="6" spans="1:33" ht="26.25" x14ac:dyDescent="0.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70"/>
    </row>
    <row r="7" spans="1:33" ht="26.25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70"/>
    </row>
    <row r="8" spans="1:33" ht="26.25" x14ac:dyDescent="0.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70"/>
    </row>
    <row r="9" spans="1:33" ht="26.25" x14ac:dyDescent="0.4">
      <c r="A9" s="103"/>
      <c r="B9" s="103"/>
      <c r="C9" s="10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70"/>
    </row>
    <row r="10" spans="1:33" ht="26.25" x14ac:dyDescent="0.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70"/>
    </row>
    <row r="11" spans="1:33" ht="27" thickBot="1" x14ac:dyDescent="0.4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70"/>
    </row>
    <row r="12" spans="1:33" ht="15.75" x14ac:dyDescent="0.25">
      <c r="A12" s="49"/>
      <c r="B12" s="50"/>
      <c r="C12" s="100"/>
      <c r="D12" s="98">
        <v>2023</v>
      </c>
      <c r="E12" s="72">
        <v>2024</v>
      </c>
      <c r="F12" s="72">
        <v>2025</v>
      </c>
      <c r="G12" s="72">
        <v>2026</v>
      </c>
      <c r="H12" s="72">
        <v>2027</v>
      </c>
      <c r="I12" s="72">
        <v>2028</v>
      </c>
      <c r="J12" s="72">
        <v>2029</v>
      </c>
      <c r="K12" s="72">
        <v>2030</v>
      </c>
      <c r="L12" s="72">
        <v>2031</v>
      </c>
      <c r="M12" s="72">
        <v>2032</v>
      </c>
      <c r="N12" s="72">
        <v>2033</v>
      </c>
      <c r="O12" s="72">
        <v>2034</v>
      </c>
      <c r="P12" s="72">
        <v>2035</v>
      </c>
      <c r="Q12" s="72">
        <v>2036</v>
      </c>
      <c r="R12" s="73" t="s">
        <v>13</v>
      </c>
    </row>
    <row r="13" spans="1:33" ht="16.5" thickBot="1" x14ac:dyDescent="0.3">
      <c r="A13" s="26"/>
      <c r="B13" s="101"/>
      <c r="C13" s="102"/>
      <c r="D13" s="99">
        <f>D38+D64+D90+D116+D142+D168+D194+D220</f>
        <v>1366.7499999999998</v>
      </c>
      <c r="E13" s="99">
        <f t="shared" ref="E13:Q13" si="0">E38+E64+E90+E116+E142+E168+E194+E220</f>
        <v>1520.4137024999998</v>
      </c>
      <c r="F13" s="99">
        <f t="shared" si="0"/>
        <v>1693.4951827370496</v>
      </c>
      <c r="G13" s="99">
        <f t="shared" si="0"/>
        <v>1888.6097120130084</v>
      </c>
      <c r="H13" s="99">
        <f t="shared" si="0"/>
        <v>2108.7414940276285</v>
      </c>
      <c r="I13" s="99">
        <f t="shared" si="0"/>
        <v>2357.2983491427681</v>
      </c>
      <c r="J13" s="99">
        <f t="shared" si="0"/>
        <v>2638.1750562337074</v>
      </c>
      <c r="K13" s="99">
        <f t="shared" si="0"/>
        <v>2955.8268458113535</v>
      </c>
      <c r="L13" s="99">
        <f t="shared" si="0"/>
        <v>3315.3548222225136</v>
      </c>
      <c r="M13" s="99">
        <f t="shared" si="0"/>
        <v>3722.6054362461464</v>
      </c>
      <c r="N13" s="99">
        <f t="shared" si="0"/>
        <v>4184.2865457527787</v>
      </c>
      <c r="O13" s="99">
        <f t="shared" si="0"/>
        <v>4708.1031079839249</v>
      </c>
      <c r="P13" s="99">
        <f t="shared" si="0"/>
        <v>5302.9161632200285</v>
      </c>
      <c r="Q13" s="99">
        <f t="shared" si="0"/>
        <v>5978.929522050541</v>
      </c>
      <c r="R13" s="75">
        <f>RATE(12,,-E13,Q13)</f>
        <v>0.12086972332923741</v>
      </c>
      <c r="T13" s="72">
        <v>2023</v>
      </c>
      <c r="U13" s="72">
        <v>2024</v>
      </c>
      <c r="V13" s="72">
        <v>2025</v>
      </c>
      <c r="W13" s="72">
        <v>2026</v>
      </c>
      <c r="X13" s="72">
        <v>2027</v>
      </c>
      <c r="Y13" s="72">
        <v>2028</v>
      </c>
      <c r="Z13" s="72">
        <v>2029</v>
      </c>
      <c r="AA13" s="72">
        <v>2030</v>
      </c>
      <c r="AB13" s="72">
        <v>2031</v>
      </c>
      <c r="AC13" s="72">
        <v>2032</v>
      </c>
      <c r="AD13" s="72">
        <v>2033</v>
      </c>
      <c r="AE13" s="72">
        <v>2034</v>
      </c>
      <c r="AF13" s="72">
        <v>2035</v>
      </c>
      <c r="AG13" s="72">
        <v>2036</v>
      </c>
    </row>
    <row r="14" spans="1:33" x14ac:dyDescent="0.25">
      <c r="A14" s="110" t="s">
        <v>51</v>
      </c>
      <c r="B14" s="59" t="s">
        <v>34</v>
      </c>
      <c r="C14" s="52"/>
      <c r="D14" s="86">
        <f>D39+D65+D91+D117+D143+D169+D195+D221</f>
        <v>765.38000000000011</v>
      </c>
      <c r="E14" s="86">
        <f t="shared" ref="E14:Q14" si="1">E39+E65+E91+E117+E143+E169+E195+E221</f>
        <v>852.83290746298235</v>
      </c>
      <c r="F14" s="86">
        <f t="shared" si="1"/>
        <v>951.48136756149927</v>
      </c>
      <c r="G14" s="86">
        <f t="shared" si="1"/>
        <v>1062.8517426281524</v>
      </c>
      <c r="H14" s="86">
        <f t="shared" si="1"/>
        <v>1188.6882281440353</v>
      </c>
      <c r="I14" s="86">
        <f t="shared" si="1"/>
        <v>1330.9854803835108</v>
      </c>
      <c r="J14" s="86">
        <f t="shared" si="1"/>
        <v>1492.0264538433096</v>
      </c>
      <c r="K14" s="86">
        <f t="shared" si="1"/>
        <v>1674.4263527982027</v>
      </c>
      <c r="L14" s="86">
        <f t="shared" si="1"/>
        <v>1881.1837740609353</v>
      </c>
      <c r="M14" s="86">
        <f t="shared" si="1"/>
        <v>2115.740326984559</v>
      </c>
      <c r="N14" s="86">
        <f t="shared" si="1"/>
        <v>2382.0502701638998</v>
      </c>
      <c r="O14" s="86">
        <f t="shared" si="1"/>
        <v>2684.6620124001633</v>
      </c>
      <c r="P14" s="86">
        <f t="shared" si="1"/>
        <v>3028.8137010280439</v>
      </c>
      <c r="Q14" s="86">
        <f t="shared" si="1"/>
        <v>3420.5455795651092</v>
      </c>
      <c r="R14" s="84">
        <f>RATE(12,,-E14,Q14)</f>
        <v>0.12271438202052976</v>
      </c>
      <c r="S14" s="59" t="s">
        <v>34</v>
      </c>
      <c r="T14" s="12">
        <v>0.56000000000000005</v>
      </c>
      <c r="U14" s="12">
        <v>0.56092161367703952</v>
      </c>
      <c r="V14" s="12">
        <v>0.56184474408938223</v>
      </c>
      <c r="W14" s="12">
        <v>0.56276939373317769</v>
      </c>
      <c r="X14" s="12">
        <v>0.56369556510868446</v>
      </c>
      <c r="Y14" s="12">
        <v>0.56462326072027491</v>
      </c>
      <c r="Z14" s="12">
        <v>0.56555248307644368</v>
      </c>
      <c r="AA14" s="12">
        <v>0.56648323468981299</v>
      </c>
      <c r="AB14" s="12">
        <v>0.56741551807714108</v>
      </c>
      <c r="AC14" s="12">
        <v>0.56834933575932756</v>
      </c>
      <c r="AD14" s="12">
        <v>0.56928469026142059</v>
      </c>
      <c r="AE14" s="12">
        <v>0.57022158411262425</v>
      </c>
      <c r="AF14" s="12">
        <v>0.57116001984630527</v>
      </c>
      <c r="AG14" s="12">
        <v>0.57209999999999905</v>
      </c>
    </row>
    <row r="15" spans="1:33" ht="15.75" thickBot="1" x14ac:dyDescent="0.3">
      <c r="A15" s="111"/>
      <c r="B15" s="60" t="s">
        <v>35</v>
      </c>
      <c r="C15" s="53"/>
      <c r="D15" s="87">
        <f>D40+D66+D92+D118+D144+D170+D196+D222</f>
        <v>601.36999999999989</v>
      </c>
      <c r="E15" s="87">
        <f t="shared" ref="E15:Q15" si="2">E40+E66+E92+E118+E144+E170+E196+E222</f>
        <v>667.58079503701754</v>
      </c>
      <c r="F15" s="87">
        <f t="shared" si="2"/>
        <v>742.01381517555046</v>
      </c>
      <c r="G15" s="87">
        <f t="shared" si="2"/>
        <v>825.75796938485655</v>
      </c>
      <c r="H15" s="87">
        <f t="shared" si="2"/>
        <v>920.05326588359299</v>
      </c>
      <c r="I15" s="87">
        <f t="shared" si="2"/>
        <v>1026.3128687592571</v>
      </c>
      <c r="J15" s="87">
        <f t="shared" si="2"/>
        <v>1146.1486023903976</v>
      </c>
      <c r="K15" s="87">
        <f t="shared" si="2"/>
        <v>1281.4004930131509</v>
      </c>
      <c r="L15" s="87">
        <f t="shared" si="2"/>
        <v>1434.171048161578</v>
      </c>
      <c r="M15" s="87">
        <f t="shared" si="2"/>
        <v>1606.8651092615869</v>
      </c>
      <c r="N15" s="87">
        <f t="shared" si="2"/>
        <v>1802.2362755888789</v>
      </c>
      <c r="O15" s="87">
        <f t="shared" si="2"/>
        <v>2023.4410955837616</v>
      </c>
      <c r="P15" s="87">
        <f t="shared" si="2"/>
        <v>2274.1024621919832</v>
      </c>
      <c r="Q15" s="87">
        <f t="shared" si="2"/>
        <v>2558.3839424854318</v>
      </c>
      <c r="R15" s="85">
        <f>RATE(12,,-E15,Q15)</f>
        <v>0.11846352053940817</v>
      </c>
      <c r="S15" s="60" t="s">
        <v>35</v>
      </c>
      <c r="T15" s="12">
        <f>1-T14</f>
        <v>0.43999999999999995</v>
      </c>
      <c r="U15" s="12">
        <f t="shared" ref="U15:AG15" si="3">1-U14</f>
        <v>0.43907838632296048</v>
      </c>
      <c r="V15" s="12">
        <f t="shared" si="3"/>
        <v>0.43815525591061777</v>
      </c>
      <c r="W15" s="12">
        <f t="shared" si="3"/>
        <v>0.43723060626682231</v>
      </c>
      <c r="X15" s="12">
        <f t="shared" si="3"/>
        <v>0.43630443489131554</v>
      </c>
      <c r="Y15" s="12">
        <f t="shared" si="3"/>
        <v>0.43537673927972509</v>
      </c>
      <c r="Z15" s="12">
        <f t="shared" si="3"/>
        <v>0.43444751692355632</v>
      </c>
      <c r="AA15" s="12">
        <f t="shared" si="3"/>
        <v>0.43351676531018701</v>
      </c>
      <c r="AB15" s="12">
        <f t="shared" si="3"/>
        <v>0.43258448192285892</v>
      </c>
      <c r="AC15" s="12">
        <f t="shared" si="3"/>
        <v>0.43165066424067244</v>
      </c>
      <c r="AD15" s="12">
        <f t="shared" si="3"/>
        <v>0.43071530973857941</v>
      </c>
      <c r="AE15" s="12">
        <f t="shared" si="3"/>
        <v>0.42977841588737575</v>
      </c>
      <c r="AF15" s="12">
        <f t="shared" si="3"/>
        <v>0.42883998015369473</v>
      </c>
      <c r="AG15" s="12">
        <f t="shared" si="3"/>
        <v>0.42790000000000095</v>
      </c>
    </row>
    <row r="16" spans="1:33" ht="15.75" thickBot="1" x14ac:dyDescent="0.3">
      <c r="A16" s="1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21"/>
    </row>
    <row r="17" spans="1:33" x14ac:dyDescent="0.25">
      <c r="A17" s="110" t="s">
        <v>15</v>
      </c>
      <c r="B17" s="64" t="s">
        <v>16</v>
      </c>
      <c r="C17" s="54"/>
      <c r="D17" s="89">
        <f>D42+D68+D94+D120+D146+D172+D198+D224</f>
        <v>643.73924999999986</v>
      </c>
      <c r="E17" s="89">
        <f t="shared" ref="E17:Q17" si="4">E42+E68+E94+E120+E146+E172+E198+E224</f>
        <v>715.17921467596125</v>
      </c>
      <c r="F17" s="89">
        <f t="shared" si="4"/>
        <v>795.55192930578164</v>
      </c>
      <c r="G17" s="89">
        <f t="shared" si="4"/>
        <v>886.04851027441066</v>
      </c>
      <c r="H17" s="89">
        <f t="shared" si="4"/>
        <v>988.02649539402194</v>
      </c>
      <c r="I17" s="89">
        <f t="shared" si="4"/>
        <v>1103.0342967565734</v>
      </c>
      <c r="J17" s="89">
        <f t="shared" si="4"/>
        <v>1232.83949743229</v>
      </c>
      <c r="K17" s="89">
        <f t="shared" si="4"/>
        <v>1379.4616518105756</v>
      </c>
      <c r="L17" s="89">
        <f t="shared" si="4"/>
        <v>1545.2103744497085</v>
      </c>
      <c r="M17" s="89">
        <f t="shared" si="4"/>
        <v>1732.7296534404175</v>
      </c>
      <c r="N17" s="89">
        <f t="shared" si="4"/>
        <v>1945.0495073833877</v>
      </c>
      <c r="O17" s="89">
        <f t="shared" si="4"/>
        <v>2185.6463274371522</v>
      </c>
      <c r="P17" s="89">
        <f t="shared" si="4"/>
        <v>2458.5135165943925</v>
      </c>
      <c r="Q17" s="89">
        <f t="shared" si="4"/>
        <v>2768.2443687094005</v>
      </c>
      <c r="R17" s="76">
        <f>RATE(12,,-E17,Q17)</f>
        <v>0.1193926777906114</v>
      </c>
      <c r="S17" s="64" t="s">
        <v>16</v>
      </c>
      <c r="T17" s="12">
        <v>0.47099999999999992</v>
      </c>
      <c r="U17" s="12">
        <v>0.47038461538461535</v>
      </c>
      <c r="V17" s="12">
        <v>0.46976923076923072</v>
      </c>
      <c r="W17" s="12">
        <v>0.46915384615384609</v>
      </c>
      <c r="X17" s="12">
        <v>0.46853846153846151</v>
      </c>
      <c r="Y17" s="12">
        <v>0.46792307692307689</v>
      </c>
      <c r="Z17" s="12">
        <v>0.46730769230769226</v>
      </c>
      <c r="AA17" s="12">
        <v>0.46669230769230763</v>
      </c>
      <c r="AB17" s="12">
        <v>0.46607692307692306</v>
      </c>
      <c r="AC17" s="12">
        <v>0.46546153846153843</v>
      </c>
      <c r="AD17" s="12">
        <v>0.4648461538461538</v>
      </c>
      <c r="AE17" s="12">
        <v>0.46423076923076922</v>
      </c>
      <c r="AF17" s="12">
        <v>0.4636153846153846</v>
      </c>
      <c r="AG17" s="12">
        <v>0.46299999999999997</v>
      </c>
    </row>
    <row r="18" spans="1:33" ht="15.75" thickBot="1" x14ac:dyDescent="0.3">
      <c r="A18" s="111"/>
      <c r="B18" s="65" t="s">
        <v>17</v>
      </c>
      <c r="C18" s="55"/>
      <c r="D18" s="90">
        <f>D43+D69+D95+D121+D147+D173+D199+D225</f>
        <v>723.01075000000014</v>
      </c>
      <c r="E18" s="90">
        <f t="shared" ref="E18:Q18" si="5">E43+E69+E95+E121+E147+E173+E199+E225</f>
        <v>805.23448782403852</v>
      </c>
      <c r="F18" s="90">
        <f t="shared" si="5"/>
        <v>897.9432534312682</v>
      </c>
      <c r="G18" s="90">
        <f t="shared" si="5"/>
        <v>1002.5612017385981</v>
      </c>
      <c r="H18" s="90">
        <f t="shared" si="5"/>
        <v>1120.7149986336065</v>
      </c>
      <c r="I18" s="90">
        <f t="shared" si="5"/>
        <v>1254.2640523861942</v>
      </c>
      <c r="J18" s="90">
        <f t="shared" si="5"/>
        <v>1405.3355588014174</v>
      </c>
      <c r="K18" s="90">
        <f t="shared" si="5"/>
        <v>1576.3651940007785</v>
      </c>
      <c r="L18" s="90">
        <f t="shared" si="5"/>
        <v>1770.1444477728051</v>
      </c>
      <c r="M18" s="90">
        <f t="shared" si="5"/>
        <v>1989.8757828057289</v>
      </c>
      <c r="N18" s="90">
        <f t="shared" si="5"/>
        <v>2239.2370383693915</v>
      </c>
      <c r="O18" s="90">
        <f t="shared" si="5"/>
        <v>2522.4567805467718</v>
      </c>
      <c r="P18" s="90">
        <f t="shared" si="5"/>
        <v>2844.402646625635</v>
      </c>
      <c r="Q18" s="90">
        <f t="shared" si="5"/>
        <v>3210.6851533411404</v>
      </c>
      <c r="R18" s="77">
        <f>RATE(12,,-E18,Q18)</f>
        <v>0.12216386391953947</v>
      </c>
      <c r="S18" s="65" t="s">
        <v>17</v>
      </c>
      <c r="T18" s="12">
        <f>1-T17</f>
        <v>0.52900000000000014</v>
      </c>
      <c r="U18" s="12">
        <f t="shared" ref="U18:AG18" si="6">1-U17</f>
        <v>0.5296153846153846</v>
      </c>
      <c r="V18" s="12">
        <f t="shared" si="6"/>
        <v>0.53023076923076928</v>
      </c>
      <c r="W18" s="12">
        <f t="shared" si="6"/>
        <v>0.53084615384615397</v>
      </c>
      <c r="X18" s="12">
        <f t="shared" si="6"/>
        <v>0.53146153846153843</v>
      </c>
      <c r="Y18" s="12">
        <f t="shared" si="6"/>
        <v>0.53207692307692311</v>
      </c>
      <c r="Z18" s="12">
        <f t="shared" si="6"/>
        <v>0.5326923076923078</v>
      </c>
      <c r="AA18" s="12">
        <f t="shared" si="6"/>
        <v>0.53330769230769237</v>
      </c>
      <c r="AB18" s="12">
        <f t="shared" si="6"/>
        <v>0.53392307692307694</v>
      </c>
      <c r="AC18" s="12">
        <f t="shared" si="6"/>
        <v>0.53453846153846163</v>
      </c>
      <c r="AD18" s="12">
        <f t="shared" si="6"/>
        <v>0.5351538461538462</v>
      </c>
      <c r="AE18" s="12">
        <f t="shared" si="6"/>
        <v>0.53576923076923078</v>
      </c>
      <c r="AF18" s="12">
        <f t="shared" si="6"/>
        <v>0.53638461538461546</v>
      </c>
      <c r="AG18" s="12">
        <f t="shared" si="6"/>
        <v>0.53700000000000003</v>
      </c>
    </row>
    <row r="19" spans="1:33" ht="15.75" thickBot="1" x14ac:dyDescent="0.3">
      <c r="A19" s="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21"/>
    </row>
    <row r="20" spans="1:33" x14ac:dyDescent="0.25">
      <c r="A20" s="110" t="s">
        <v>18</v>
      </c>
      <c r="B20" s="61" t="s">
        <v>19</v>
      </c>
      <c r="C20" s="56"/>
      <c r="D20" s="91">
        <f>D45+D71+D97+D123+D149+D175+D201+D227</f>
        <v>548.06674999999996</v>
      </c>
      <c r="E20" s="91">
        <f t="shared" ref="E20:Q20" si="7">E45+E71+E97+E123+E149+E175+E201+E227</f>
        <v>612.19595378958593</v>
      </c>
      <c r="F20" s="91">
        <f t="shared" si="7"/>
        <v>684.69467895681214</v>
      </c>
      <c r="G20" s="91">
        <f t="shared" si="7"/>
        <v>766.7248039969046</v>
      </c>
      <c r="H20" s="91">
        <f t="shared" si="7"/>
        <v>859.61690094256903</v>
      </c>
      <c r="I20" s="91">
        <f t="shared" si="7"/>
        <v>964.8959002274695</v>
      </c>
      <c r="J20" s="91">
        <f t="shared" si="7"/>
        <v>1084.3109065527269</v>
      </c>
      <c r="K20" s="91">
        <f t="shared" si="7"/>
        <v>1219.8698930921528</v>
      </c>
      <c r="L20" s="91">
        <f t="shared" si="7"/>
        <v>1373.8801411947293</v>
      </c>
      <c r="M20" s="91">
        <f t="shared" si="7"/>
        <v>1548.995462037492</v>
      </c>
      <c r="N20" s="91">
        <f t="shared" si="7"/>
        <v>1748.2714421811324</v>
      </c>
      <c r="O20" s="91">
        <f t="shared" si="7"/>
        <v>1975.2302050597732</v>
      </c>
      <c r="P20" s="91">
        <f t="shared" si="7"/>
        <v>2233.9364855369954</v>
      </c>
      <c r="Q20" s="91">
        <f t="shared" si="7"/>
        <v>2529.0871878273751</v>
      </c>
      <c r="R20" s="78">
        <f>RATE(12,,-E20,Q20)</f>
        <v>0.12548431136287236</v>
      </c>
      <c r="S20" s="61" t="s">
        <v>19</v>
      </c>
      <c r="T20" s="12">
        <v>0.40099999999999997</v>
      </c>
      <c r="U20" s="12">
        <v>0.40265090533119946</v>
      </c>
      <c r="V20" s="12">
        <v>0.40430860739160734</v>
      </c>
      <c r="W20" s="12">
        <v>0.40597313416316017</v>
      </c>
      <c r="X20" s="12">
        <v>0.40764451374299493</v>
      </c>
      <c r="Y20" s="12">
        <v>0.40932277434392395</v>
      </c>
      <c r="Z20" s="12">
        <v>0.41100794429491083</v>
      </c>
      <c r="AA20" s="12">
        <v>0.4127000520415488</v>
      </c>
      <c r="AB20" s="12">
        <v>0.41439912614654062</v>
      </c>
      <c r="AC20" s="12">
        <v>0.41610519529018092</v>
      </c>
      <c r="AD20" s="12">
        <v>0.41781828827084017</v>
      </c>
      <c r="AE20" s="12">
        <v>0.4195384340054511</v>
      </c>
      <c r="AF20" s="12">
        <v>0.4212656615299965</v>
      </c>
      <c r="AG20" s="12">
        <v>0.42299999999999938</v>
      </c>
    </row>
    <row r="21" spans="1:33" ht="15.75" thickBot="1" x14ac:dyDescent="0.3">
      <c r="A21" s="111"/>
      <c r="B21" s="63" t="s">
        <v>20</v>
      </c>
      <c r="C21" s="51"/>
      <c r="D21" s="92">
        <f>D46+D72+D98+D124+D150+D176+D202+D228</f>
        <v>818.68324999999982</v>
      </c>
      <c r="E21" s="92">
        <f t="shared" ref="E21:Q21" si="8">E46+E72+E98+E124+E150+E176+E202+E228</f>
        <v>908.21774871041384</v>
      </c>
      <c r="F21" s="92">
        <f t="shared" si="8"/>
        <v>1008.8005037802377</v>
      </c>
      <c r="G21" s="92">
        <f t="shared" si="8"/>
        <v>1121.884908016104</v>
      </c>
      <c r="H21" s="92">
        <f t="shared" si="8"/>
        <v>1249.1245930850591</v>
      </c>
      <c r="I21" s="92">
        <f t="shared" si="8"/>
        <v>1392.4024489152985</v>
      </c>
      <c r="J21" s="92">
        <f t="shared" si="8"/>
        <v>1553.8641496809803</v>
      </c>
      <c r="K21" s="92">
        <f t="shared" si="8"/>
        <v>1735.9569527192009</v>
      </c>
      <c r="L21" s="92">
        <f t="shared" si="8"/>
        <v>1941.4746810277845</v>
      </c>
      <c r="M21" s="92">
        <f t="shared" si="8"/>
        <v>2173.6099742086544</v>
      </c>
      <c r="N21" s="92">
        <f t="shared" si="8"/>
        <v>2436.0151035716463</v>
      </c>
      <c r="O21" s="92">
        <f t="shared" si="8"/>
        <v>2732.8729029241513</v>
      </c>
      <c r="P21" s="92">
        <f t="shared" si="8"/>
        <v>3068.9796776830312</v>
      </c>
      <c r="Q21" s="92">
        <f t="shared" si="8"/>
        <v>3449.8423342231658</v>
      </c>
      <c r="R21" s="79">
        <f>RATE(12,,-E21,Q21)</f>
        <v>0.11763700248794806</v>
      </c>
      <c r="S21" s="63" t="s">
        <v>20</v>
      </c>
      <c r="T21" s="12">
        <f>1-T20</f>
        <v>0.59899999999999998</v>
      </c>
      <c r="U21" s="12">
        <f t="shared" ref="U21:AG21" si="9">1-U20</f>
        <v>0.59734909466880048</v>
      </c>
      <c r="V21" s="12">
        <f t="shared" si="9"/>
        <v>0.59569139260839266</v>
      </c>
      <c r="W21" s="12">
        <f t="shared" si="9"/>
        <v>0.59402686583683983</v>
      </c>
      <c r="X21" s="12">
        <f t="shared" si="9"/>
        <v>0.59235548625700507</v>
      </c>
      <c r="Y21" s="12">
        <f t="shared" si="9"/>
        <v>0.59067722565607605</v>
      </c>
      <c r="Z21" s="12">
        <f t="shared" si="9"/>
        <v>0.58899205570508917</v>
      </c>
      <c r="AA21" s="12">
        <f t="shared" si="9"/>
        <v>0.5872999479584512</v>
      </c>
      <c r="AB21" s="12">
        <f t="shared" si="9"/>
        <v>0.58560087385345938</v>
      </c>
      <c r="AC21" s="12">
        <f t="shared" si="9"/>
        <v>0.58389480470981914</v>
      </c>
      <c r="AD21" s="12">
        <f t="shared" si="9"/>
        <v>0.58218171172915989</v>
      </c>
      <c r="AE21" s="12">
        <f t="shared" si="9"/>
        <v>0.5804615659945489</v>
      </c>
      <c r="AF21" s="12">
        <f t="shared" si="9"/>
        <v>0.57873433847000344</v>
      </c>
      <c r="AG21" s="12">
        <f t="shared" si="9"/>
        <v>0.57700000000000062</v>
      </c>
    </row>
    <row r="22" spans="1:33" ht="15.75" thickBot="1" x14ac:dyDescent="0.3">
      <c r="A22" s="2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21"/>
    </row>
    <row r="23" spans="1:33" x14ac:dyDescent="0.25">
      <c r="A23" s="110" t="s">
        <v>14</v>
      </c>
      <c r="B23" s="66" t="s">
        <v>21</v>
      </c>
      <c r="C23" s="57"/>
      <c r="D23" s="93">
        <f t="shared" ref="D23:D28" si="10">D48+D74+D100+D126+D152+D178+D204+D230</f>
        <v>341.68749999999994</v>
      </c>
      <c r="E23" s="93">
        <f t="shared" ref="E23:Q23" si="11">E48+E74+E100+E126+E152+E178+E204+E230</f>
        <v>382.46909111683385</v>
      </c>
      <c r="F23" s="93">
        <f t="shared" si="11"/>
        <v>428.66013323658768</v>
      </c>
      <c r="G23" s="93">
        <f t="shared" si="11"/>
        <v>481.02307232696523</v>
      </c>
      <c r="H23" s="93">
        <f t="shared" si="11"/>
        <v>540.43266779072428</v>
      </c>
      <c r="I23" s="93">
        <f t="shared" si="11"/>
        <v>607.89330674017879</v>
      </c>
      <c r="J23" s="93">
        <f t="shared" si="11"/>
        <v>684.5591496176562</v>
      </c>
      <c r="K23" s="93">
        <f t="shared" si="11"/>
        <v>771.75760733391326</v>
      </c>
      <c r="L23" s="93">
        <f t="shared" si="11"/>
        <v>871.01674679704433</v>
      </c>
      <c r="M23" s="93">
        <f t="shared" si="11"/>
        <v>984.09733887768277</v>
      </c>
      <c r="N23" s="93">
        <f t="shared" si="11"/>
        <v>1113.0304051995984</v>
      </c>
      <c r="O23" s="93">
        <f t="shared" si="11"/>
        <v>1260.1612935070152</v>
      </c>
      <c r="P23" s="93">
        <f t="shared" si="11"/>
        <v>1428.2015230400693</v>
      </c>
      <c r="Q23" s="93">
        <f t="shared" si="11"/>
        <v>1620.2899004756973</v>
      </c>
      <c r="R23" s="80">
        <f t="shared" ref="R23:R28" si="12">RATE(12,,-E23,Q23)</f>
        <v>0.12784572682063441</v>
      </c>
      <c r="S23" s="66" t="s">
        <v>21</v>
      </c>
      <c r="T23" s="12">
        <v>0.25</v>
      </c>
      <c r="U23" s="12">
        <v>0.25155593539307364</v>
      </c>
      <c r="V23" s="12">
        <v>0.25312155452593693</v>
      </c>
      <c r="W23" s="12">
        <v>0.25469691766768382</v>
      </c>
      <c r="X23" s="12">
        <v>0.25628208546250747</v>
      </c>
      <c r="Y23" s="12">
        <v>0.2578771189320348</v>
      </c>
      <c r="Z23" s="12">
        <v>0.25948207947767565</v>
      </c>
      <c r="AA23" s="12">
        <v>0.2610970288829863</v>
      </c>
      <c r="AB23" s="12">
        <v>0.26272202931604799</v>
      </c>
      <c r="AC23" s="12">
        <v>0.26435714333185978</v>
      </c>
      <c r="AD23" s="12">
        <v>0.26600243387474731</v>
      </c>
      <c r="AE23" s="12">
        <v>0.26765796428078514</v>
      </c>
      <c r="AF23" s="12">
        <v>0.26932379828023517</v>
      </c>
      <c r="AG23" s="12">
        <v>0.27100000000000013</v>
      </c>
    </row>
    <row r="24" spans="1:33" x14ac:dyDescent="0.25">
      <c r="A24" s="112"/>
      <c r="B24" s="67" t="s">
        <v>22</v>
      </c>
      <c r="C24" s="48"/>
      <c r="D24" s="94">
        <f t="shared" si="10"/>
        <v>519.36500000000001</v>
      </c>
      <c r="E24" s="94">
        <f t="shared" ref="E24:Q24" si="13">E49+E75+E101+E127+E153+E179+E205+E231</f>
        <v>579.14061523183148</v>
      </c>
      <c r="F24" s="94">
        <f t="shared" si="13"/>
        <v>646.61364559074411</v>
      </c>
      <c r="G24" s="94">
        <f t="shared" si="13"/>
        <v>722.83932221264308</v>
      </c>
      <c r="H24" s="94">
        <f t="shared" si="13"/>
        <v>809.02426337311203</v>
      </c>
      <c r="I24" s="94">
        <f t="shared" si="13"/>
        <v>906.54925747330674</v>
      </c>
      <c r="J24" s="94">
        <f t="shared" si="13"/>
        <v>1016.9956980397873</v>
      </c>
      <c r="K24" s="94">
        <f t="shared" si="13"/>
        <v>1142.1763064606446</v>
      </c>
      <c r="L24" s="94">
        <f t="shared" si="13"/>
        <v>1284.170899841268</v>
      </c>
      <c r="M24" s="94">
        <f t="shared" si="13"/>
        <v>1445.3681085769847</v>
      </c>
      <c r="N24" s="94">
        <f t="shared" si="13"/>
        <v>1628.514126823246</v>
      </c>
      <c r="O24" s="94">
        <f t="shared" si="13"/>
        <v>1836.7697962272782</v>
      </c>
      <c r="P24" s="94">
        <f t="shared" si="13"/>
        <v>2073.7775880747413</v>
      </c>
      <c r="Q24" s="94">
        <f t="shared" si="13"/>
        <v>2343.740372643812</v>
      </c>
      <c r="R24" s="81">
        <f t="shared" si="12"/>
        <v>0.12355358506095757</v>
      </c>
      <c r="S24" s="67" t="s">
        <v>22</v>
      </c>
      <c r="T24" s="12">
        <v>0.38</v>
      </c>
      <c r="U24" s="12">
        <v>0.38090988938047371</v>
      </c>
      <c r="V24" s="12">
        <v>0.38182195744169661</v>
      </c>
      <c r="W24" s="12">
        <v>0.38273620940040159</v>
      </c>
      <c r="X24" s="12">
        <v>0.38365265048581265</v>
      </c>
      <c r="Y24" s="12">
        <v>0.38457128593967477</v>
      </c>
      <c r="Z24" s="12">
        <v>0.38549212101628438</v>
      </c>
      <c r="AA24" s="12">
        <v>0.38641516098251855</v>
      </c>
      <c r="AB24" s="12">
        <v>0.38734041111786593</v>
      </c>
      <c r="AC24" s="12">
        <v>0.38826787671445667</v>
      </c>
      <c r="AD24" s="12">
        <v>0.38919756307709236</v>
      </c>
      <c r="AE24" s="12">
        <v>0.39012947552327681</v>
      </c>
      <c r="AF24" s="12">
        <v>0.3910636193832463</v>
      </c>
      <c r="AG24" s="12">
        <v>0.39200000000000002</v>
      </c>
    </row>
    <row r="25" spans="1:33" x14ac:dyDescent="0.25">
      <c r="A25" s="112"/>
      <c r="B25" s="68" t="s">
        <v>23</v>
      </c>
      <c r="C25" s="48"/>
      <c r="D25" s="95">
        <f t="shared" si="10"/>
        <v>181.77774999999991</v>
      </c>
      <c r="E25" s="95">
        <f t="shared" ref="E25:Q25" si="14">E50+E76+E102+E128+E154+E180+E206+E232</f>
        <v>202.34355573875362</v>
      </c>
      <c r="F25" s="95">
        <f t="shared" si="14"/>
        <v>225.52128097100771</v>
      </c>
      <c r="G25" s="95">
        <f t="shared" si="14"/>
        <v>251.66437621237006</v>
      </c>
      <c r="H25" s="95">
        <f t="shared" si="14"/>
        <v>281.1763772022266</v>
      </c>
      <c r="I25" s="95">
        <f t="shared" si="14"/>
        <v>314.51835881112993</v>
      </c>
      <c r="J25" s="95">
        <f t="shared" si="14"/>
        <v>352.21757293134675</v>
      </c>
      <c r="K25" s="95">
        <f t="shared" si="14"/>
        <v>394.8774751013172</v>
      </c>
      <c r="L25" s="95">
        <f t="shared" si="14"/>
        <v>443.18938362364656</v>
      </c>
      <c r="M25" s="95">
        <f t="shared" si="14"/>
        <v>497.94606210913514</v>
      </c>
      <c r="N25" s="95">
        <f t="shared" si="14"/>
        <v>560.05757356786</v>
      </c>
      <c r="O25" s="95">
        <f t="shared" si="14"/>
        <v>630.5698236721928</v>
      </c>
      <c r="P25" s="95">
        <f t="shared" si="14"/>
        <v>710.68629549823038</v>
      </c>
      <c r="Q25" s="95">
        <f t="shared" si="14"/>
        <v>801.79358148144752</v>
      </c>
      <c r="R25" s="81">
        <f t="shared" si="12"/>
        <v>0.12158217826793899</v>
      </c>
      <c r="S25" s="68" t="s">
        <v>23</v>
      </c>
      <c r="T25" s="74">
        <v>0.34999999999999987</v>
      </c>
      <c r="U25" s="74">
        <v>0.34938588387166564</v>
      </c>
      <c r="V25" s="74">
        <v>0.34877284528224306</v>
      </c>
      <c r="W25" s="74">
        <v>0.34816088234106346</v>
      </c>
      <c r="X25" s="74">
        <v>0.34754999316077562</v>
      </c>
      <c r="Y25" s="74">
        <v>0.34694017585733994</v>
      </c>
      <c r="Z25" s="74">
        <v>0.34633142855002247</v>
      </c>
      <c r="AA25" s="74">
        <v>0.34572374936138933</v>
      </c>
      <c r="AB25" s="74">
        <v>0.34511713641730069</v>
      </c>
      <c r="AC25" s="74">
        <v>0.34451158784690528</v>
      </c>
      <c r="AD25" s="74">
        <v>0.34390710178263434</v>
      </c>
      <c r="AE25" s="74">
        <v>0.34330367636019604</v>
      </c>
      <c r="AF25" s="74">
        <v>0.34270130971856966</v>
      </c>
      <c r="AG25" s="74">
        <v>0.34209999999999979</v>
      </c>
    </row>
    <row r="26" spans="1:33" x14ac:dyDescent="0.25">
      <c r="A26" s="112"/>
      <c r="B26" s="68" t="s">
        <v>24</v>
      </c>
      <c r="C26" s="48"/>
      <c r="D26" s="95">
        <f t="shared" si="10"/>
        <v>145.42220000000003</v>
      </c>
      <c r="E26" s="95">
        <f t="shared" ref="E26:Q26" si="15">E51+E77+E103+E129+E155+E181+E207+E233</f>
        <v>162.72645998224354</v>
      </c>
      <c r="F26" s="95">
        <f t="shared" si="15"/>
        <v>182.32034801687178</v>
      </c>
      <c r="G26" s="95">
        <f t="shared" si="15"/>
        <v>204.52583200809138</v>
      </c>
      <c r="H26" s="95">
        <f t="shared" si="15"/>
        <v>229.71220306972288</v>
      </c>
      <c r="I26" s="95">
        <f t="shared" si="15"/>
        <v>258.30335614916817</v>
      </c>
      <c r="J26" s="95">
        <f t="shared" si="15"/>
        <v>290.78625921534552</v>
      </c>
      <c r="K26" s="95">
        <f t="shared" si="15"/>
        <v>327.72082071131291</v>
      </c>
      <c r="L26" s="95">
        <f t="shared" si="15"/>
        <v>369.75140547886554</v>
      </c>
      <c r="M26" s="95">
        <f t="shared" si="15"/>
        <v>417.62029843884102</v>
      </c>
      <c r="N26" s="95">
        <f t="shared" si="15"/>
        <v>472.18347492217367</v>
      </c>
      <c r="O26" s="95">
        <f t="shared" si="15"/>
        <v>534.4291091392779</v>
      </c>
      <c r="P26" s="95">
        <f t="shared" si="15"/>
        <v>605.49934090147462</v>
      </c>
      <c r="Q26" s="95">
        <f t="shared" si="15"/>
        <v>686.71592918463614</v>
      </c>
      <c r="R26" s="81">
        <f t="shared" si="12"/>
        <v>0.12748276552466478</v>
      </c>
      <c r="S26" s="68" t="s">
        <v>24</v>
      </c>
      <c r="T26" s="74">
        <v>0.28000000000000003</v>
      </c>
      <c r="U26" s="74">
        <v>0.28097918830490543</v>
      </c>
      <c r="V26" s="74">
        <v>0.28196180093029821</v>
      </c>
      <c r="W26" s="74">
        <v>0.28294784985137333</v>
      </c>
      <c r="X26" s="74">
        <v>0.28393734708520407</v>
      </c>
      <c r="Y26" s="74">
        <v>0.28493030469088876</v>
      </c>
      <c r="Z26" s="74">
        <v>0.28592673476969749</v>
      </c>
      <c r="AA26" s="74">
        <v>0.28692664946521995</v>
      </c>
      <c r="AB26" s="74">
        <v>0.28793006096351298</v>
      </c>
      <c r="AC26" s="74">
        <v>0.28893698149324931</v>
      </c>
      <c r="AD26" s="74">
        <v>0.28994742332586665</v>
      </c>
      <c r="AE26" s="74">
        <v>0.29096139877571725</v>
      </c>
      <c r="AF26" s="74">
        <v>0.29197892020021765</v>
      </c>
      <c r="AG26" s="74">
        <v>0.29299999999999965</v>
      </c>
    </row>
    <row r="27" spans="1:33" x14ac:dyDescent="0.25">
      <c r="A27" s="112"/>
      <c r="B27" s="68" t="s">
        <v>25</v>
      </c>
      <c r="C27" s="48"/>
      <c r="D27" s="95">
        <f t="shared" si="10"/>
        <v>192.16505000000001</v>
      </c>
      <c r="E27" s="95">
        <f t="shared" ref="E27:Q27" si="16">E52+E78+E104+E130+E156+E182+E208+E234</f>
        <v>214.07059951083428</v>
      </c>
      <c r="F27" s="95">
        <f t="shared" si="16"/>
        <v>238.77201660286454</v>
      </c>
      <c r="G27" s="95">
        <f t="shared" si="16"/>
        <v>266.64911399218153</v>
      </c>
      <c r="H27" s="95">
        <f t="shared" si="16"/>
        <v>298.1356831011625</v>
      </c>
      <c r="I27" s="95">
        <f t="shared" si="16"/>
        <v>333.72754251300847</v>
      </c>
      <c r="J27" s="95">
        <f t="shared" si="16"/>
        <v>373.99186589309477</v>
      </c>
      <c r="K27" s="95">
        <f t="shared" si="16"/>
        <v>419.5780106480143</v>
      </c>
      <c r="L27" s="95">
        <f t="shared" si="16"/>
        <v>471.23011073875574</v>
      </c>
      <c r="M27" s="95">
        <f t="shared" si="16"/>
        <v>529.80174802900854</v>
      </c>
      <c r="N27" s="95">
        <f t="shared" si="16"/>
        <v>596.27307833321208</v>
      </c>
      <c r="O27" s="95">
        <f t="shared" si="16"/>
        <v>671.7708634158073</v>
      </c>
      <c r="P27" s="95">
        <f t="shared" si="16"/>
        <v>757.59195167503651</v>
      </c>
      <c r="Q27" s="95">
        <f t="shared" si="16"/>
        <v>855.23086197772841</v>
      </c>
      <c r="R27" s="81">
        <f t="shared" si="12"/>
        <v>0.1223471159981956</v>
      </c>
      <c r="S27" s="68" t="s">
        <v>25</v>
      </c>
      <c r="T27" s="74">
        <f>1-SUM(T25:T26)</f>
        <v>0.37000000000000011</v>
      </c>
      <c r="U27" s="74">
        <f t="shared" ref="U27:AG27" si="17">1-SUM(U25:U26)</f>
        <v>0.36963492782342899</v>
      </c>
      <c r="V27" s="74">
        <f t="shared" si="17"/>
        <v>0.36926535378745873</v>
      </c>
      <c r="W27" s="74">
        <f t="shared" si="17"/>
        <v>0.36889126780756321</v>
      </c>
      <c r="X27" s="74">
        <f t="shared" si="17"/>
        <v>0.36851265975402026</v>
      </c>
      <c r="Y27" s="74">
        <f t="shared" si="17"/>
        <v>0.3681295194517713</v>
      </c>
      <c r="Z27" s="74">
        <f t="shared" si="17"/>
        <v>0.36774183668028004</v>
      </c>
      <c r="AA27" s="74">
        <f t="shared" si="17"/>
        <v>0.36734960117339077</v>
      </c>
      <c r="AB27" s="74">
        <f t="shared" si="17"/>
        <v>0.36695280261918639</v>
      </c>
      <c r="AC27" s="74">
        <f t="shared" si="17"/>
        <v>0.36655143065984541</v>
      </c>
      <c r="AD27" s="74">
        <f t="shared" si="17"/>
        <v>0.36614547489149896</v>
      </c>
      <c r="AE27" s="74">
        <f t="shared" si="17"/>
        <v>0.36573492486408665</v>
      </c>
      <c r="AF27" s="74">
        <f t="shared" si="17"/>
        <v>0.36531977008121275</v>
      </c>
      <c r="AG27" s="74">
        <f t="shared" si="17"/>
        <v>0.36490000000000056</v>
      </c>
    </row>
    <row r="28" spans="1:33" ht="15.75" thickBot="1" x14ac:dyDescent="0.3">
      <c r="A28" s="111"/>
      <c r="B28" s="69" t="s">
        <v>26</v>
      </c>
      <c r="C28" s="58"/>
      <c r="D28" s="96">
        <f t="shared" si="10"/>
        <v>505.69749999999999</v>
      </c>
      <c r="E28" s="96">
        <f t="shared" ref="E28:Q28" si="18">E53+E79+E105+E131+E157+E183+E209+E235</f>
        <v>558.80399615133467</v>
      </c>
      <c r="F28" s="96">
        <f t="shared" si="18"/>
        <v>618.22140390971799</v>
      </c>
      <c r="G28" s="96">
        <f t="shared" si="18"/>
        <v>684.74731747340024</v>
      </c>
      <c r="H28" s="96">
        <f t="shared" si="18"/>
        <v>759.28456286379196</v>
      </c>
      <c r="I28" s="96">
        <f t="shared" si="18"/>
        <v>842.85578492928232</v>
      </c>
      <c r="J28" s="96">
        <f t="shared" si="18"/>
        <v>936.62020857626362</v>
      </c>
      <c r="K28" s="96">
        <f t="shared" si="18"/>
        <v>1041.8929320167963</v>
      </c>
      <c r="L28" s="96">
        <f t="shared" si="18"/>
        <v>1160.1671755842017</v>
      </c>
      <c r="M28" s="96">
        <f t="shared" si="18"/>
        <v>1293.1399887914788</v>
      </c>
      <c r="N28" s="96">
        <f t="shared" si="18"/>
        <v>1442.7420137299348</v>
      </c>
      <c r="O28" s="96">
        <f t="shared" si="18"/>
        <v>1611.1720182496317</v>
      </c>
      <c r="P28" s="96">
        <f t="shared" si="18"/>
        <v>1800.9370521052165</v>
      </c>
      <c r="Q28" s="96">
        <f t="shared" si="18"/>
        <v>2014.8992489310315</v>
      </c>
      <c r="R28" s="82">
        <f t="shared" si="12"/>
        <v>0.11279752906827678</v>
      </c>
      <c r="S28" s="69" t="s">
        <v>26</v>
      </c>
      <c r="T28" s="12">
        <f>1-SUM(T23+T24)</f>
        <v>0.37</v>
      </c>
      <c r="U28" s="12">
        <f t="shared" ref="U28:AG28" si="19">1-SUM(U23+U24)</f>
        <v>0.36753417522645271</v>
      </c>
      <c r="V28" s="12">
        <f t="shared" si="19"/>
        <v>0.36505648803236646</v>
      </c>
      <c r="W28" s="12">
        <f t="shared" si="19"/>
        <v>0.36256687293191459</v>
      </c>
      <c r="X28" s="12">
        <f t="shared" si="19"/>
        <v>0.36006526405167993</v>
      </c>
      <c r="Y28" s="12">
        <f t="shared" si="19"/>
        <v>0.35755159512829038</v>
      </c>
      <c r="Z28" s="12">
        <f t="shared" si="19"/>
        <v>0.35502579950603996</v>
      </c>
      <c r="AA28" s="12">
        <f t="shared" si="19"/>
        <v>0.35248781013449515</v>
      </c>
      <c r="AB28" s="12">
        <f t="shared" si="19"/>
        <v>0.34993755956608608</v>
      </c>
      <c r="AC28" s="12">
        <f t="shared" si="19"/>
        <v>0.3473749799536836</v>
      </c>
      <c r="AD28" s="12">
        <f t="shared" si="19"/>
        <v>0.34480000304816039</v>
      </c>
      <c r="AE28" s="12">
        <f t="shared" si="19"/>
        <v>0.34221256019593804</v>
      </c>
      <c r="AF28" s="12">
        <f t="shared" si="19"/>
        <v>0.33961258233651859</v>
      </c>
      <c r="AG28" s="12">
        <f t="shared" si="19"/>
        <v>0.33699999999999986</v>
      </c>
    </row>
    <row r="29" spans="1:33" ht="15.75" thickBot="1" x14ac:dyDescent="0.3">
      <c r="A29" s="2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21"/>
    </row>
    <row r="30" spans="1:33" x14ac:dyDescent="0.25">
      <c r="A30" s="113" t="s">
        <v>27</v>
      </c>
      <c r="B30" s="61" t="s">
        <v>28</v>
      </c>
      <c r="C30" s="56"/>
      <c r="D30" s="91">
        <f>D55+D81+D107+D133+D159+D185+D211+D237</f>
        <v>548.06674999999996</v>
      </c>
      <c r="E30" s="91">
        <f t="shared" ref="E30:Q30" si="20">E55+E81+E107+E133+E159+E185+E211+E237</f>
        <v>612.19595378958593</v>
      </c>
      <c r="F30" s="91">
        <f t="shared" si="20"/>
        <v>684.69467895681214</v>
      </c>
      <c r="G30" s="91">
        <f t="shared" si="20"/>
        <v>766.7248039969046</v>
      </c>
      <c r="H30" s="91">
        <f t="shared" si="20"/>
        <v>859.61690094256903</v>
      </c>
      <c r="I30" s="91">
        <f t="shared" si="20"/>
        <v>964.8959002274695</v>
      </c>
      <c r="J30" s="91">
        <f t="shared" si="20"/>
        <v>1084.3109065527269</v>
      </c>
      <c r="K30" s="91">
        <f t="shared" si="20"/>
        <v>1219.8698930921528</v>
      </c>
      <c r="L30" s="91">
        <f t="shared" si="20"/>
        <v>1373.8801411947293</v>
      </c>
      <c r="M30" s="91">
        <f t="shared" si="20"/>
        <v>1548.995462037492</v>
      </c>
      <c r="N30" s="91">
        <f t="shared" si="20"/>
        <v>1748.2714421811324</v>
      </c>
      <c r="O30" s="91">
        <f t="shared" si="20"/>
        <v>1975.2302050597732</v>
      </c>
      <c r="P30" s="91">
        <f t="shared" si="20"/>
        <v>2233.9364855369954</v>
      </c>
      <c r="Q30" s="91">
        <f t="shared" si="20"/>
        <v>2529.0871878273751</v>
      </c>
      <c r="R30" s="78">
        <f>RATE(12,,-E30,Q30)</f>
        <v>0.12548431136287236</v>
      </c>
      <c r="S30" s="61" t="s">
        <v>28</v>
      </c>
      <c r="T30" s="12">
        <v>0.40099999999999997</v>
      </c>
      <c r="U30" s="12">
        <v>0.40265090533119946</v>
      </c>
      <c r="V30" s="12">
        <v>0.40430860739160734</v>
      </c>
      <c r="W30" s="12">
        <v>0.40597313416316017</v>
      </c>
      <c r="X30" s="12">
        <v>0.40764451374299493</v>
      </c>
      <c r="Y30" s="12">
        <v>0.40932277434392395</v>
      </c>
      <c r="Z30" s="12">
        <v>0.41100794429491083</v>
      </c>
      <c r="AA30" s="12">
        <v>0.4127000520415488</v>
      </c>
      <c r="AB30" s="12">
        <v>0.41439912614654062</v>
      </c>
      <c r="AC30" s="12">
        <v>0.41610519529018092</v>
      </c>
      <c r="AD30" s="12">
        <v>0.41781828827084017</v>
      </c>
      <c r="AE30" s="12">
        <v>0.4195384340054511</v>
      </c>
      <c r="AF30" s="12">
        <v>0.4212656615299965</v>
      </c>
      <c r="AG30" s="12">
        <v>0.42299999999999938</v>
      </c>
    </row>
    <row r="31" spans="1:33" x14ac:dyDescent="0.25">
      <c r="A31" s="114"/>
      <c r="B31" s="62" t="s">
        <v>29</v>
      </c>
      <c r="C31" s="47"/>
      <c r="D31" s="97">
        <f>D56+D82+D108+D134+D160+D186+D212+D238</f>
        <v>589.0692499999999</v>
      </c>
      <c r="E31" s="97">
        <f t="shared" ref="E31:Q31" si="21">E56+E82+E108+E134+E160+E186+E212+E238</f>
        <v>656.56989882501682</v>
      </c>
      <c r="F31" s="97">
        <f t="shared" si="21"/>
        <v>732.73187051591424</v>
      </c>
      <c r="G31" s="97">
        <f t="shared" si="21"/>
        <v>818.73858472006521</v>
      </c>
      <c r="H31" s="97">
        <f t="shared" si="21"/>
        <v>915.94270065545652</v>
      </c>
      <c r="I31" s="97">
        <f t="shared" si="21"/>
        <v>1025.891513689425</v>
      </c>
      <c r="J31" s="97">
        <f t="shared" si="21"/>
        <v>1150.3564132946108</v>
      </c>
      <c r="K31" s="97">
        <f t="shared" si="21"/>
        <v>1291.3671081571854</v>
      </c>
      <c r="L31" s="97">
        <f t="shared" si="21"/>
        <v>1451.2514591219226</v>
      </c>
      <c r="M31" s="97">
        <f t="shared" si="21"/>
        <v>1632.6819238775124</v>
      </c>
      <c r="N31" s="97">
        <f t="shared" si="21"/>
        <v>1838.7298152517026</v>
      </c>
      <c r="O31" s="97">
        <f t="shared" si="21"/>
        <v>2072.9288157003934</v>
      </c>
      <c r="P31" s="97">
        <f t="shared" si="21"/>
        <v>2339.3494840022117</v>
      </c>
      <c r="Q31" s="97">
        <f t="shared" si="21"/>
        <v>2642.6868487463407</v>
      </c>
      <c r="R31" s="83">
        <f>RATE(12,,-E31,Q31)</f>
        <v>0.12304474825250511</v>
      </c>
      <c r="S31" s="62" t="s">
        <v>29</v>
      </c>
      <c r="T31" s="12">
        <v>0.43099999999999999</v>
      </c>
      <c r="U31" s="12">
        <v>0.43183634674261745</v>
      </c>
      <c r="V31" s="12">
        <v>0.43267431639909548</v>
      </c>
      <c r="W31" s="12">
        <v>0.43351391211866536</v>
      </c>
      <c r="X31" s="12">
        <v>0.43435513705666956</v>
      </c>
      <c r="Y31" s="12">
        <v>0.43519799437457324</v>
      </c>
      <c r="Z31" s="12">
        <v>0.43604248723997657</v>
      </c>
      <c r="AA31" s="12">
        <v>0.43688861882662616</v>
      </c>
      <c r="AB31" s="12">
        <v>0.43773639231442729</v>
      </c>
      <c r="AC31" s="12">
        <v>0.43858581088945586</v>
      </c>
      <c r="AD31" s="12">
        <v>0.43943687774397006</v>
      </c>
      <c r="AE31" s="12">
        <v>0.44028959607642287</v>
      </c>
      <c r="AF31" s="12">
        <v>0.44114396909147369</v>
      </c>
      <c r="AG31" s="12">
        <v>0.44200000000000028</v>
      </c>
    </row>
    <row r="32" spans="1:33" ht="15.75" thickBot="1" x14ac:dyDescent="0.3">
      <c r="A32" s="115"/>
      <c r="B32" s="63" t="s">
        <v>30</v>
      </c>
      <c r="C32" s="51"/>
      <c r="D32" s="92">
        <f>D57+D83+D109+D135+D161+D187+D213+D239</f>
        <v>229.61400000000006</v>
      </c>
      <c r="E32" s="92">
        <f t="shared" ref="E32:Q32" si="22">E57+E83+E109+E135+E161+E187+E213+E239</f>
        <v>251.64784988539719</v>
      </c>
      <c r="F32" s="92">
        <f t="shared" si="22"/>
        <v>276.0686332643233</v>
      </c>
      <c r="G32" s="92">
        <f t="shared" si="22"/>
        <v>303.14632329603876</v>
      </c>
      <c r="H32" s="92">
        <f t="shared" si="22"/>
        <v>333.18189242960233</v>
      </c>
      <c r="I32" s="92">
        <f t="shared" si="22"/>
        <v>366.51093522587303</v>
      </c>
      <c r="J32" s="92">
        <f t="shared" si="22"/>
        <v>403.50773638636952</v>
      </c>
      <c r="K32" s="92">
        <f t="shared" si="22"/>
        <v>444.58984456201574</v>
      </c>
      <c r="L32" s="92">
        <f t="shared" si="22"/>
        <v>490.22322190586186</v>
      </c>
      <c r="M32" s="92">
        <f t="shared" si="22"/>
        <v>540.92805033114178</v>
      </c>
      <c r="N32" s="92">
        <f t="shared" si="22"/>
        <v>597.28528831994367</v>
      </c>
      <c r="O32" s="92">
        <f t="shared" si="22"/>
        <v>659.94408722375863</v>
      </c>
      <c r="P32" s="92">
        <f t="shared" si="22"/>
        <v>729.63019368082007</v>
      </c>
      <c r="Q32" s="92">
        <f t="shared" si="22"/>
        <v>807.15548547682499</v>
      </c>
      <c r="R32" s="79">
        <f>RATE(12,,-E32,Q32)</f>
        <v>0.10199679527839607</v>
      </c>
      <c r="S32" s="63" t="s">
        <v>30</v>
      </c>
      <c r="T32" s="12">
        <f>1-SUM(T30:T31)</f>
        <v>0.16800000000000004</v>
      </c>
      <c r="U32" s="12">
        <f t="shared" ref="U32:AG32" si="23">1-SUM(U30:U31)</f>
        <v>0.16551274792618309</v>
      </c>
      <c r="V32" s="12">
        <f t="shared" si="23"/>
        <v>0.16301707620929717</v>
      </c>
      <c r="W32" s="12">
        <f t="shared" si="23"/>
        <v>0.16051295371817442</v>
      </c>
      <c r="X32" s="12">
        <f t="shared" si="23"/>
        <v>0.15800034920033545</v>
      </c>
      <c r="Y32" s="12">
        <f t="shared" si="23"/>
        <v>0.15547923128150276</v>
      </c>
      <c r="Z32" s="12">
        <f t="shared" si="23"/>
        <v>0.15294956846511254</v>
      </c>
      <c r="AA32" s="12">
        <f t="shared" si="23"/>
        <v>0.15041132913182498</v>
      </c>
      <c r="AB32" s="12">
        <f t="shared" si="23"/>
        <v>0.14786448153903209</v>
      </c>
      <c r="AC32" s="12">
        <f t="shared" si="23"/>
        <v>0.14530899382036322</v>
      </c>
      <c r="AD32" s="12">
        <f t="shared" si="23"/>
        <v>0.14274483398518978</v>
      </c>
      <c r="AE32" s="12">
        <f t="shared" si="23"/>
        <v>0.14017196991812608</v>
      </c>
      <c r="AF32" s="12">
        <f t="shared" si="23"/>
        <v>0.13759036937852986</v>
      </c>
      <c r="AG32" s="12">
        <f t="shared" si="23"/>
        <v>0.13500000000000034</v>
      </c>
    </row>
    <row r="35" spans="1:33" ht="26.25" x14ac:dyDescent="0.4">
      <c r="A35" s="109" t="s">
        <v>56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70"/>
    </row>
    <row r="36" spans="1:33" ht="24" thickBot="1" x14ac:dyDescent="0.4">
      <c r="A36" s="70"/>
      <c r="B36" s="70"/>
      <c r="C36" s="7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spans="1:33" ht="15.75" x14ac:dyDescent="0.25">
      <c r="A37" s="49"/>
      <c r="B37" s="50"/>
      <c r="C37" s="100"/>
      <c r="D37" s="98">
        <v>2023</v>
      </c>
      <c r="E37" s="72">
        <v>2024</v>
      </c>
      <c r="F37" s="72">
        <v>2025</v>
      </c>
      <c r="G37" s="72">
        <v>2026</v>
      </c>
      <c r="H37" s="72">
        <v>2027</v>
      </c>
      <c r="I37" s="72">
        <v>2028</v>
      </c>
      <c r="J37" s="72">
        <v>2029</v>
      </c>
      <c r="K37" s="72">
        <v>2030</v>
      </c>
      <c r="L37" s="72">
        <v>2031</v>
      </c>
      <c r="M37" s="72">
        <v>2032</v>
      </c>
      <c r="N37" s="72">
        <v>2033</v>
      </c>
      <c r="O37" s="72">
        <v>2034</v>
      </c>
      <c r="P37" s="72">
        <v>2035</v>
      </c>
      <c r="Q37" s="72">
        <v>2036</v>
      </c>
      <c r="R37" s="73" t="s">
        <v>13</v>
      </c>
    </row>
    <row r="38" spans="1:33" ht="16.5" thickBot="1" x14ac:dyDescent="0.3">
      <c r="A38" s="26"/>
      <c r="B38" s="101"/>
      <c r="C38" s="102"/>
      <c r="D38" s="99">
        <f>'Market Analysis'!C18</f>
        <v>341.6875</v>
      </c>
      <c r="E38" s="99">
        <f>'Market Analysis'!D18</f>
        <v>393.62399999999997</v>
      </c>
      <c r="F38" s="99">
        <f>'Market Analysis'!E18</f>
        <v>453.11650027780479</v>
      </c>
      <c r="G38" s="99">
        <f>'Market Analysis'!F18</f>
        <v>521.21343940549446</v>
      </c>
      <c r="H38" s="99">
        <f>'Market Analysis'!G18</f>
        <v>599.10140895998677</v>
      </c>
      <c r="I38" s="99">
        <f>'Market Analysis'!H18</f>
        <v>688.12235003183844</v>
      </c>
      <c r="J38" s="99">
        <f>'Market Analysis'!I18</f>
        <v>789.79275817293762</v>
      </c>
      <c r="K38" s="99">
        <f>'Market Analysis'!J18</f>
        <v>905.82511494041171</v>
      </c>
      <c r="L38" s="99">
        <f>'Market Analysis'!K18</f>
        <v>1038.1517859647868</v>
      </c>
      <c r="M38" s="99">
        <f>'Market Analysis'!L18</f>
        <v>1188.9516492016371</v>
      </c>
      <c r="N38" s="99">
        <f>'Market Analysis'!M18</f>
        <v>1360.679742872383</v>
      </c>
      <c r="O38" s="99">
        <f>'Market Analysis'!N18</f>
        <v>1556.1002507264129</v>
      </c>
      <c r="P38" s="99">
        <f>'Market Analysis'!O18</f>
        <v>1778.3231728387743</v>
      </c>
      <c r="Q38" s="99">
        <f>'Market Analysis'!P18</f>
        <v>2030.8450633818802</v>
      </c>
      <c r="R38" s="75">
        <f>RATE(12,,-E38,Q38)</f>
        <v>0.14652343222237924</v>
      </c>
      <c r="T38" s="72">
        <v>2023</v>
      </c>
      <c r="U38" s="72">
        <v>2024</v>
      </c>
      <c r="V38" s="72">
        <v>2025</v>
      </c>
      <c r="W38" s="72">
        <v>2026</v>
      </c>
      <c r="X38" s="72">
        <v>2027</v>
      </c>
      <c r="Y38" s="72">
        <v>2028</v>
      </c>
      <c r="Z38" s="72">
        <v>2029</v>
      </c>
      <c r="AA38" s="72">
        <v>2030</v>
      </c>
      <c r="AB38" s="72">
        <v>2031</v>
      </c>
      <c r="AC38" s="72">
        <v>2032</v>
      </c>
      <c r="AD38" s="72">
        <v>2033</v>
      </c>
      <c r="AE38" s="72">
        <v>2034</v>
      </c>
      <c r="AF38" s="72">
        <v>2035</v>
      </c>
      <c r="AG38" s="72">
        <v>2036</v>
      </c>
    </row>
    <row r="39" spans="1:33" x14ac:dyDescent="0.25">
      <c r="A39" s="110" t="s">
        <v>51</v>
      </c>
      <c r="B39" s="59" t="s">
        <v>34</v>
      </c>
      <c r="C39" s="52"/>
      <c r="D39" s="86">
        <f>D38*T39</f>
        <v>191.34500000000003</v>
      </c>
      <c r="E39" s="86">
        <f t="shared" ref="E39:Q39" si="24">E38*U39</f>
        <v>220.792209262011</v>
      </c>
      <c r="F39" s="86">
        <f t="shared" si="24"/>
        <v>254.58112414125972</v>
      </c>
      <c r="G39" s="86">
        <f t="shared" si="24"/>
        <v>293.32297129981447</v>
      </c>
      <c r="H39" s="86">
        <f t="shared" si="24"/>
        <v>337.71080728110883</v>
      </c>
      <c r="I39" s="86">
        <f t="shared" si="24"/>
        <v>388.52988504947501</v>
      </c>
      <c r="J39" s="86">
        <f t="shared" si="24"/>
        <v>446.66925550049808</v>
      </c>
      <c r="K39" s="86">
        <f t="shared" si="24"/>
        <v>513.13474117471605</v>
      </c>
      <c r="L39" s="86">
        <f t="shared" si="24"/>
        <v>589.06343347591871</v>
      </c>
      <c r="M39" s="86">
        <f t="shared" si="24"/>
        <v>675.73988007370747</v>
      </c>
      <c r="N39" s="86">
        <f t="shared" si="24"/>
        <v>774.61414596609393</v>
      </c>
      <c r="O39" s="86">
        <f t="shared" si="24"/>
        <v>887.32195000726699</v>
      </c>
      <c r="P39" s="86">
        <f t="shared" si="24"/>
        <v>1015.7070986917389</v>
      </c>
      <c r="Q39" s="86">
        <f t="shared" si="24"/>
        <v>1161.8464607607718</v>
      </c>
      <c r="R39" s="84">
        <f>RATE(12,,-E39,Q39)</f>
        <v>0.14841031021551743</v>
      </c>
      <c r="S39" s="59" t="s">
        <v>34</v>
      </c>
      <c r="T39" s="12">
        <v>0.56000000000000005</v>
      </c>
      <c r="U39" s="12">
        <v>0.56092161367703952</v>
      </c>
      <c r="V39" s="12">
        <v>0.56184474408938223</v>
      </c>
      <c r="W39" s="12">
        <v>0.56276939373317769</v>
      </c>
      <c r="X39" s="12">
        <v>0.56369556510868446</v>
      </c>
      <c r="Y39" s="12">
        <v>0.56462326072027491</v>
      </c>
      <c r="Z39" s="12">
        <v>0.56555248307644368</v>
      </c>
      <c r="AA39" s="12">
        <v>0.56648323468981299</v>
      </c>
      <c r="AB39" s="12">
        <v>0.56741551807714108</v>
      </c>
      <c r="AC39" s="12">
        <v>0.56834933575932756</v>
      </c>
      <c r="AD39" s="12">
        <v>0.56928469026142059</v>
      </c>
      <c r="AE39" s="12">
        <v>0.57022158411262425</v>
      </c>
      <c r="AF39" s="12">
        <v>0.57116001984630527</v>
      </c>
      <c r="AG39" s="12">
        <v>0.57209999999999905</v>
      </c>
    </row>
    <row r="40" spans="1:33" ht="15.75" thickBot="1" x14ac:dyDescent="0.3">
      <c r="A40" s="111"/>
      <c r="B40" s="60" t="s">
        <v>35</v>
      </c>
      <c r="C40" s="53"/>
      <c r="D40" s="87">
        <f>D38*T40</f>
        <v>150.34249999999997</v>
      </c>
      <c r="E40" s="87">
        <f t="shared" ref="E40:Q40" si="25">E38*U40</f>
        <v>172.83179073798897</v>
      </c>
      <c r="F40" s="87">
        <f t="shared" si="25"/>
        <v>198.53537613654507</v>
      </c>
      <c r="G40" s="87">
        <f t="shared" si="25"/>
        <v>227.89046810567999</v>
      </c>
      <c r="H40" s="87">
        <f t="shared" si="25"/>
        <v>261.39060167887794</v>
      </c>
      <c r="I40" s="87">
        <f t="shared" si="25"/>
        <v>299.59246498236342</v>
      </c>
      <c r="J40" s="87">
        <f t="shared" si="25"/>
        <v>343.12350267243954</v>
      </c>
      <c r="K40" s="87">
        <f t="shared" si="25"/>
        <v>392.69037376569565</v>
      </c>
      <c r="L40" s="87">
        <f t="shared" si="25"/>
        <v>449.088352488868</v>
      </c>
      <c r="M40" s="87">
        <f t="shared" si="25"/>
        <v>513.21176912792964</v>
      </c>
      <c r="N40" s="87">
        <f t="shared" si="25"/>
        <v>586.0655969062891</v>
      </c>
      <c r="O40" s="87">
        <f t="shared" si="25"/>
        <v>668.77830071914593</v>
      </c>
      <c r="P40" s="87">
        <f t="shared" si="25"/>
        <v>762.61607414703542</v>
      </c>
      <c r="Q40" s="87">
        <f t="shared" si="25"/>
        <v>868.99860262110849</v>
      </c>
      <c r="R40" s="85">
        <f>RATE(12,,-E40,Q40)</f>
        <v>0.14406215788885535</v>
      </c>
      <c r="S40" s="60" t="s">
        <v>35</v>
      </c>
      <c r="T40" s="12">
        <f>1-T39</f>
        <v>0.43999999999999995</v>
      </c>
      <c r="U40" s="12">
        <f t="shared" ref="U40:AG40" si="26">1-U39</f>
        <v>0.43907838632296048</v>
      </c>
      <c r="V40" s="12">
        <f t="shared" si="26"/>
        <v>0.43815525591061777</v>
      </c>
      <c r="W40" s="12">
        <f t="shared" si="26"/>
        <v>0.43723060626682231</v>
      </c>
      <c r="X40" s="12">
        <f t="shared" si="26"/>
        <v>0.43630443489131554</v>
      </c>
      <c r="Y40" s="12">
        <f t="shared" si="26"/>
        <v>0.43537673927972509</v>
      </c>
      <c r="Z40" s="12">
        <f t="shared" si="26"/>
        <v>0.43444751692355632</v>
      </c>
      <c r="AA40" s="12">
        <f t="shared" si="26"/>
        <v>0.43351676531018701</v>
      </c>
      <c r="AB40" s="12">
        <f t="shared" si="26"/>
        <v>0.43258448192285892</v>
      </c>
      <c r="AC40" s="12">
        <f t="shared" si="26"/>
        <v>0.43165066424067244</v>
      </c>
      <c r="AD40" s="12">
        <f t="shared" si="26"/>
        <v>0.43071530973857941</v>
      </c>
      <c r="AE40" s="12">
        <f t="shared" si="26"/>
        <v>0.42977841588737575</v>
      </c>
      <c r="AF40" s="12">
        <f t="shared" si="26"/>
        <v>0.42883998015369473</v>
      </c>
      <c r="AG40" s="12">
        <f t="shared" si="26"/>
        <v>0.42790000000000095</v>
      </c>
    </row>
    <row r="41" spans="1:33" ht="15.75" thickBot="1" x14ac:dyDescent="0.3">
      <c r="A41" s="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21"/>
    </row>
    <row r="42" spans="1:33" x14ac:dyDescent="0.25">
      <c r="A42" s="110" t="s">
        <v>15</v>
      </c>
      <c r="B42" s="64" t="s">
        <v>16</v>
      </c>
      <c r="C42" s="54"/>
      <c r="D42" s="89">
        <f>D38*T42</f>
        <v>160.93481249999996</v>
      </c>
      <c r="E42" s="89">
        <f t="shared" ref="E42:Q42" si="27">E38*U42</f>
        <v>185.15467384615383</v>
      </c>
      <c r="F42" s="89">
        <f t="shared" si="27"/>
        <v>212.86018978435027</v>
      </c>
      <c r="G42" s="89">
        <f t="shared" si="27"/>
        <v>244.52928976416231</v>
      </c>
      <c r="H42" s="89">
        <f t="shared" si="27"/>
        <v>280.70205245963689</v>
      </c>
      <c r="I42" s="89">
        <f t="shared" si="27"/>
        <v>321.98832732643638</v>
      </c>
      <c r="J42" s="89">
        <f t="shared" si="27"/>
        <v>369.07623122312276</v>
      </c>
      <c r="K42" s="89">
        <f t="shared" si="27"/>
        <v>422.74161325719052</v>
      </c>
      <c r="L42" s="89">
        <f t="shared" si="27"/>
        <v>483.8585900892802</v>
      </c>
      <c r="M42" s="89">
        <f t="shared" si="27"/>
        <v>553.41126379377738</v>
      </c>
      <c r="N42" s="89">
        <f t="shared" si="27"/>
        <v>632.5067450906007</v>
      </c>
      <c r="O42" s="89">
        <f t="shared" si="27"/>
        <v>722.38961639491549</v>
      </c>
      <c r="P42" s="89">
        <f t="shared" si="27"/>
        <v>824.45798174609945</v>
      </c>
      <c r="Q42" s="89">
        <f t="shared" si="27"/>
        <v>940.28126434581043</v>
      </c>
      <c r="R42" s="76">
        <f>RATE(12,,-E42,Q42)</f>
        <v>0.14501258106343004</v>
      </c>
      <c r="S42" s="64" t="s">
        <v>16</v>
      </c>
      <c r="T42" s="12">
        <v>0.47099999999999992</v>
      </c>
      <c r="U42" s="12">
        <v>0.47038461538461535</v>
      </c>
      <c r="V42" s="12">
        <v>0.46976923076923072</v>
      </c>
      <c r="W42" s="12">
        <v>0.46915384615384609</v>
      </c>
      <c r="X42" s="12">
        <v>0.46853846153846151</v>
      </c>
      <c r="Y42" s="12">
        <v>0.46792307692307689</v>
      </c>
      <c r="Z42" s="12">
        <v>0.46730769230769226</v>
      </c>
      <c r="AA42" s="12">
        <v>0.46669230769230763</v>
      </c>
      <c r="AB42" s="12">
        <v>0.46607692307692306</v>
      </c>
      <c r="AC42" s="12">
        <v>0.46546153846153843</v>
      </c>
      <c r="AD42" s="12">
        <v>0.4648461538461538</v>
      </c>
      <c r="AE42" s="12">
        <v>0.46423076923076922</v>
      </c>
      <c r="AF42" s="12">
        <v>0.4636153846153846</v>
      </c>
      <c r="AG42" s="12">
        <v>0.46299999999999997</v>
      </c>
    </row>
    <row r="43" spans="1:33" ht="15.75" thickBot="1" x14ac:dyDescent="0.3">
      <c r="A43" s="111"/>
      <c r="B43" s="65" t="s">
        <v>17</v>
      </c>
      <c r="C43" s="55"/>
      <c r="D43" s="90">
        <f>D38*T43</f>
        <v>180.75268750000004</v>
      </c>
      <c r="E43" s="90">
        <f t="shared" ref="E43:Q43" si="28">E38*U43</f>
        <v>208.46932615384614</v>
      </c>
      <c r="F43" s="90">
        <f t="shared" si="28"/>
        <v>240.25631049345452</v>
      </c>
      <c r="G43" s="90">
        <f t="shared" si="28"/>
        <v>276.68414964133217</v>
      </c>
      <c r="H43" s="90">
        <f t="shared" si="28"/>
        <v>318.39935650034988</v>
      </c>
      <c r="I43" s="90">
        <f t="shared" si="28"/>
        <v>366.13402270540206</v>
      </c>
      <c r="J43" s="90">
        <f t="shared" si="28"/>
        <v>420.71652694981492</v>
      </c>
      <c r="K43" s="90">
        <f t="shared" si="28"/>
        <v>483.08350168322119</v>
      </c>
      <c r="L43" s="90">
        <f t="shared" si="28"/>
        <v>554.29319587550651</v>
      </c>
      <c r="M43" s="90">
        <f t="shared" si="28"/>
        <v>635.54038540785984</v>
      </c>
      <c r="N43" s="90">
        <f t="shared" si="28"/>
        <v>728.17299778178233</v>
      </c>
      <c r="O43" s="90">
        <f t="shared" si="28"/>
        <v>833.71063433149743</v>
      </c>
      <c r="P43" s="90">
        <f t="shared" si="28"/>
        <v>953.86519109267499</v>
      </c>
      <c r="Q43" s="90">
        <f t="shared" si="28"/>
        <v>1090.5637990360697</v>
      </c>
      <c r="R43" s="77">
        <f>RATE(12,,-E43,Q43)</f>
        <v>0.14784719222815904</v>
      </c>
      <c r="S43" s="65" t="s">
        <v>17</v>
      </c>
      <c r="T43" s="12">
        <f>1-T42</f>
        <v>0.52900000000000014</v>
      </c>
      <c r="U43" s="12">
        <f t="shared" ref="U43:AG43" si="29">1-U42</f>
        <v>0.5296153846153846</v>
      </c>
      <c r="V43" s="12">
        <f t="shared" si="29"/>
        <v>0.53023076923076928</v>
      </c>
      <c r="W43" s="12">
        <f t="shared" si="29"/>
        <v>0.53084615384615397</v>
      </c>
      <c r="X43" s="12">
        <f t="shared" si="29"/>
        <v>0.53146153846153843</v>
      </c>
      <c r="Y43" s="12">
        <f t="shared" si="29"/>
        <v>0.53207692307692311</v>
      </c>
      <c r="Z43" s="12">
        <f t="shared" si="29"/>
        <v>0.5326923076923078</v>
      </c>
      <c r="AA43" s="12">
        <f t="shared" si="29"/>
        <v>0.53330769230769237</v>
      </c>
      <c r="AB43" s="12">
        <f t="shared" si="29"/>
        <v>0.53392307692307694</v>
      </c>
      <c r="AC43" s="12">
        <f t="shared" si="29"/>
        <v>0.53453846153846163</v>
      </c>
      <c r="AD43" s="12">
        <f t="shared" si="29"/>
        <v>0.5351538461538462</v>
      </c>
      <c r="AE43" s="12">
        <f t="shared" si="29"/>
        <v>0.53576923076923078</v>
      </c>
      <c r="AF43" s="12">
        <f t="shared" si="29"/>
        <v>0.53638461538461546</v>
      </c>
      <c r="AG43" s="12">
        <f t="shared" si="29"/>
        <v>0.53700000000000003</v>
      </c>
    </row>
    <row r="44" spans="1:33" ht="15.75" thickBot="1" x14ac:dyDescent="0.3">
      <c r="A44" s="1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21"/>
    </row>
    <row r="45" spans="1:33" x14ac:dyDescent="0.25">
      <c r="A45" s="110" t="s">
        <v>18</v>
      </c>
      <c r="B45" s="61" t="s">
        <v>19</v>
      </c>
      <c r="C45" s="56"/>
      <c r="D45" s="91">
        <f>D38*T45</f>
        <v>137.01668749999999</v>
      </c>
      <c r="E45" s="91">
        <f t="shared" ref="E45:Q45" si="30">E38*U45</f>
        <v>158.49305996008803</v>
      </c>
      <c r="F45" s="91">
        <f t="shared" si="30"/>
        <v>183.19890121347811</v>
      </c>
      <c r="G45" s="91">
        <f t="shared" si="30"/>
        <v>211.59865356340896</v>
      </c>
      <c r="H45" s="91">
        <f t="shared" si="30"/>
        <v>244.22040253823695</v>
      </c>
      <c r="I45" s="91">
        <f t="shared" si="30"/>
        <v>281.66414940309284</v>
      </c>
      <c r="J45" s="91">
        <f t="shared" si="30"/>
        <v>324.61109795566671</v>
      </c>
      <c r="K45" s="91">
        <f t="shared" si="30"/>
        <v>373.83407207644984</v>
      </c>
      <c r="L45" s="91">
        <f t="shared" si="30"/>
        <v>430.20919291127814</v>
      </c>
      <c r="M45" s="91">
        <f t="shared" si="30"/>
        <v>494.72895818162988</v>
      </c>
      <c r="N45" s="91">
        <f t="shared" si="30"/>
        <v>568.51688105174605</v>
      </c>
      <c r="O45" s="91">
        <f t="shared" si="30"/>
        <v>652.84386234524914</v>
      </c>
      <c r="P45" s="91">
        <f t="shared" si="30"/>
        <v>749.14648782004861</v>
      </c>
      <c r="Q45" s="91">
        <f t="shared" si="30"/>
        <v>859.04746181053406</v>
      </c>
      <c r="R45" s="78">
        <f>RATE(12,,-E45,Q45)</f>
        <v>0.15124363582963118</v>
      </c>
      <c r="S45" s="61" t="s">
        <v>19</v>
      </c>
      <c r="T45" s="12">
        <v>0.40099999999999997</v>
      </c>
      <c r="U45" s="12">
        <v>0.40265090533119946</v>
      </c>
      <c r="V45" s="12">
        <v>0.40430860739160734</v>
      </c>
      <c r="W45" s="12">
        <v>0.40597313416316017</v>
      </c>
      <c r="X45" s="12">
        <v>0.40764451374299493</v>
      </c>
      <c r="Y45" s="12">
        <v>0.40932277434392395</v>
      </c>
      <c r="Z45" s="12">
        <v>0.41100794429491083</v>
      </c>
      <c r="AA45" s="12">
        <v>0.4127000520415488</v>
      </c>
      <c r="AB45" s="12">
        <v>0.41439912614654062</v>
      </c>
      <c r="AC45" s="12">
        <v>0.41610519529018092</v>
      </c>
      <c r="AD45" s="12">
        <v>0.41781828827084017</v>
      </c>
      <c r="AE45" s="12">
        <v>0.4195384340054511</v>
      </c>
      <c r="AF45" s="12">
        <v>0.4212656615299965</v>
      </c>
      <c r="AG45" s="12">
        <v>0.42299999999999938</v>
      </c>
    </row>
    <row r="46" spans="1:33" ht="15.75" thickBot="1" x14ac:dyDescent="0.3">
      <c r="A46" s="111"/>
      <c r="B46" s="63" t="s">
        <v>20</v>
      </c>
      <c r="C46" s="51"/>
      <c r="D46" s="92">
        <f>D38*T46</f>
        <v>204.67081249999998</v>
      </c>
      <c r="E46" s="92">
        <f t="shared" ref="E46:Q46" si="31">E38*U46</f>
        <v>235.13094003991191</v>
      </c>
      <c r="F46" s="92">
        <f t="shared" si="31"/>
        <v>269.91759906432668</v>
      </c>
      <c r="G46" s="92">
        <f t="shared" si="31"/>
        <v>309.6147858420855</v>
      </c>
      <c r="H46" s="92">
        <f t="shared" si="31"/>
        <v>354.88100642174982</v>
      </c>
      <c r="I46" s="92">
        <f t="shared" si="31"/>
        <v>406.4582006287456</v>
      </c>
      <c r="J46" s="92">
        <f t="shared" si="31"/>
        <v>465.18166021727092</v>
      </c>
      <c r="K46" s="92">
        <f t="shared" si="31"/>
        <v>531.99104286396187</v>
      </c>
      <c r="L46" s="92">
        <f t="shared" si="31"/>
        <v>607.94259305350863</v>
      </c>
      <c r="M46" s="92">
        <f t="shared" si="31"/>
        <v>694.22269102000735</v>
      </c>
      <c r="N46" s="92">
        <f t="shared" si="31"/>
        <v>792.16286182063709</v>
      </c>
      <c r="O46" s="92">
        <f t="shared" si="31"/>
        <v>903.25638838116379</v>
      </c>
      <c r="P46" s="92">
        <f t="shared" si="31"/>
        <v>1029.1766850187257</v>
      </c>
      <c r="Q46" s="92">
        <f t="shared" si="31"/>
        <v>1171.7976015713461</v>
      </c>
      <c r="R46" s="79">
        <f>RATE(12,,-E46,Q46)</f>
        <v>0.14321672305068164</v>
      </c>
      <c r="S46" s="63" t="s">
        <v>20</v>
      </c>
      <c r="T46" s="12">
        <f>1-T45</f>
        <v>0.59899999999999998</v>
      </c>
      <c r="U46" s="12">
        <f t="shared" ref="U46:AG46" si="32">1-U45</f>
        <v>0.59734909466880048</v>
      </c>
      <c r="V46" s="12">
        <f t="shared" si="32"/>
        <v>0.59569139260839266</v>
      </c>
      <c r="W46" s="12">
        <f t="shared" si="32"/>
        <v>0.59402686583683983</v>
      </c>
      <c r="X46" s="12">
        <f t="shared" si="32"/>
        <v>0.59235548625700507</v>
      </c>
      <c r="Y46" s="12">
        <f t="shared" si="32"/>
        <v>0.59067722565607605</v>
      </c>
      <c r="Z46" s="12">
        <f t="shared" si="32"/>
        <v>0.58899205570508917</v>
      </c>
      <c r="AA46" s="12">
        <f t="shared" si="32"/>
        <v>0.5872999479584512</v>
      </c>
      <c r="AB46" s="12">
        <f t="shared" si="32"/>
        <v>0.58560087385345938</v>
      </c>
      <c r="AC46" s="12">
        <f t="shared" si="32"/>
        <v>0.58389480470981914</v>
      </c>
      <c r="AD46" s="12">
        <f t="shared" si="32"/>
        <v>0.58218171172915989</v>
      </c>
      <c r="AE46" s="12">
        <f t="shared" si="32"/>
        <v>0.5804615659945489</v>
      </c>
      <c r="AF46" s="12">
        <f t="shared" si="32"/>
        <v>0.57873433847000344</v>
      </c>
      <c r="AG46" s="12">
        <f t="shared" si="32"/>
        <v>0.57700000000000062</v>
      </c>
    </row>
    <row r="47" spans="1:33" ht="15.75" thickBot="1" x14ac:dyDescent="0.3">
      <c r="A47" s="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21"/>
    </row>
    <row r="48" spans="1:33" x14ac:dyDescent="0.25">
      <c r="A48" s="110" t="s">
        <v>14</v>
      </c>
      <c r="B48" s="66" t="s">
        <v>21</v>
      </c>
      <c r="C48" s="57"/>
      <c r="D48" s="93">
        <f>D38*T48</f>
        <v>85.421875</v>
      </c>
      <c r="E48" s="93">
        <f t="shared" ref="E48:Q48" si="33">E38*U48</f>
        <v>99.018453513163209</v>
      </c>
      <c r="F48" s="93">
        <f t="shared" si="33"/>
        <v>114.69355293167008</v>
      </c>
      <c r="G48" s="93">
        <f t="shared" si="33"/>
        <v>132.75145646355153</v>
      </c>
      <c r="H48" s="93">
        <f t="shared" si="33"/>
        <v>153.53895849179196</v>
      </c>
      <c r="I48" s="93">
        <f t="shared" si="33"/>
        <v>177.45100909895169</v>
      </c>
      <c r="J48" s="93">
        <f t="shared" si="33"/>
        <v>204.93706724712285</v>
      </c>
      <c r="K48" s="93">
        <f t="shared" si="33"/>
        <v>236.50824619853105</v>
      </c>
      <c r="L48" s="93">
        <f t="shared" si="33"/>
        <v>272.74534394674828</v>
      </c>
      <c r="M48" s="93">
        <f t="shared" si="33"/>
        <v>314.30786154264825</v>
      </c>
      <c r="N48" s="93">
        <f t="shared" si="33"/>
        <v>361.94412332811925</v>
      </c>
      <c r="O48" s="93">
        <f t="shared" si="33"/>
        <v>416.50262532625106</v>
      </c>
      <c r="P48" s="93">
        <f t="shared" si="33"/>
        <v>478.94475147869787</v>
      </c>
      <c r="Q48" s="93">
        <f t="shared" si="33"/>
        <v>550.35901217648984</v>
      </c>
      <c r="R48" s="80">
        <f t="shared" ref="R48:R53" si="34">RATE(12,,-E48,Q48)</f>
        <v>0.15365909777042974</v>
      </c>
      <c r="S48" s="66" t="s">
        <v>21</v>
      </c>
      <c r="T48" s="12">
        <v>0.25</v>
      </c>
      <c r="U48" s="12">
        <v>0.25155593539307364</v>
      </c>
      <c r="V48" s="12">
        <v>0.25312155452593693</v>
      </c>
      <c r="W48" s="12">
        <v>0.25469691766768382</v>
      </c>
      <c r="X48" s="12">
        <v>0.25628208546250747</v>
      </c>
      <c r="Y48" s="12">
        <v>0.2578771189320348</v>
      </c>
      <c r="Z48" s="12">
        <v>0.25948207947767565</v>
      </c>
      <c r="AA48" s="12">
        <v>0.2610970288829863</v>
      </c>
      <c r="AB48" s="12">
        <v>0.26272202931604799</v>
      </c>
      <c r="AC48" s="12">
        <v>0.26435714333185978</v>
      </c>
      <c r="AD48" s="12">
        <v>0.26600243387474731</v>
      </c>
      <c r="AE48" s="12">
        <v>0.26765796428078514</v>
      </c>
      <c r="AF48" s="12">
        <v>0.26932379828023517</v>
      </c>
      <c r="AG48" s="12">
        <v>0.27100000000000013</v>
      </c>
    </row>
    <row r="49" spans="1:33" x14ac:dyDescent="0.25">
      <c r="A49" s="112"/>
      <c r="B49" s="67" t="s">
        <v>22</v>
      </c>
      <c r="C49" s="48"/>
      <c r="D49" s="94">
        <f>D38*T49</f>
        <v>129.84125</v>
      </c>
      <c r="E49" s="94">
        <f t="shared" ref="E49:Q49" si="35">E38*U49</f>
        <v>149.93527429749957</v>
      </c>
      <c r="F49" s="94">
        <f t="shared" si="35"/>
        <v>173.00982908520248</v>
      </c>
      <c r="G49" s="94">
        <f t="shared" si="35"/>
        <v>199.48725608660484</v>
      </c>
      <c r="H49" s="94">
        <f t="shared" si="35"/>
        <v>229.84684345728371</v>
      </c>
      <c r="I49" s="94">
        <f t="shared" si="35"/>
        <v>264.6320970355751</v>
      </c>
      <c r="J49" s="94">
        <f t="shared" si="35"/>
        <v>304.45888551138711</v>
      </c>
      <c r="K49" s="94">
        <f t="shared" si="35"/>
        <v>350.02455761170756</v>
      </c>
      <c r="L49" s="94">
        <f t="shared" si="35"/>
        <v>402.11813957834727</v>
      </c>
      <c r="M49" s="94">
        <f t="shared" si="35"/>
        <v>461.63173235167119</v>
      </c>
      <c r="N49" s="94">
        <f t="shared" si="35"/>
        <v>529.57324005429609</v>
      </c>
      <c r="O49" s="94">
        <f t="shared" si="35"/>
        <v>607.08057467753497</v>
      </c>
      <c r="P49" s="94">
        <f t="shared" si="35"/>
        <v>695.43749640342935</v>
      </c>
      <c r="Q49" s="94">
        <f t="shared" si="35"/>
        <v>796.09126484569708</v>
      </c>
      <c r="R49" s="81">
        <f t="shared" si="34"/>
        <v>0.14926872036820213</v>
      </c>
      <c r="S49" s="67" t="s">
        <v>22</v>
      </c>
      <c r="T49" s="12">
        <v>0.38</v>
      </c>
      <c r="U49" s="12">
        <v>0.38090988938047371</v>
      </c>
      <c r="V49" s="12">
        <v>0.38182195744169661</v>
      </c>
      <c r="W49" s="12">
        <v>0.38273620940040159</v>
      </c>
      <c r="X49" s="12">
        <v>0.38365265048581265</v>
      </c>
      <c r="Y49" s="12">
        <v>0.38457128593967477</v>
      </c>
      <c r="Z49" s="12">
        <v>0.38549212101628438</v>
      </c>
      <c r="AA49" s="12">
        <v>0.38641516098251855</v>
      </c>
      <c r="AB49" s="12">
        <v>0.38734041111786593</v>
      </c>
      <c r="AC49" s="12">
        <v>0.38826787671445667</v>
      </c>
      <c r="AD49" s="12">
        <v>0.38919756307709236</v>
      </c>
      <c r="AE49" s="12">
        <v>0.39012947552327681</v>
      </c>
      <c r="AF49" s="12">
        <v>0.3910636193832463</v>
      </c>
      <c r="AG49" s="12">
        <v>0.39200000000000002</v>
      </c>
    </row>
    <row r="50" spans="1:33" x14ac:dyDescent="0.25">
      <c r="A50" s="112"/>
      <c r="B50" s="68" t="s">
        <v>23</v>
      </c>
      <c r="C50" s="48"/>
      <c r="D50" s="95">
        <f>D49*T50</f>
        <v>45.444437499999985</v>
      </c>
      <c r="E50" s="95">
        <f t="shared" ref="E50:Q50" si="36">E49*U50</f>
        <v>52.385268333972519</v>
      </c>
      <c r="F50" s="95">
        <f t="shared" si="36"/>
        <v>60.34113035184064</v>
      </c>
      <c r="G50" s="95">
        <f t="shared" si="36"/>
        <v>69.453659094910023</v>
      </c>
      <c r="H50" s="95">
        <f t="shared" si="36"/>
        <v>79.883268871604812</v>
      </c>
      <c r="I50" s="95">
        <f t="shared" si="36"/>
        <v>91.811506283019071</v>
      </c>
      <c r="J50" s="95">
        <f t="shared" si="36"/>
        <v>105.44368075390643</v>
      </c>
      <c r="K50" s="95">
        <f t="shared" si="36"/>
        <v>121.01180242608116</v>
      </c>
      <c r="L50" s="95">
        <f t="shared" si="36"/>
        <v>138.77786083273162</v>
      </c>
      <c r="M50" s="95">
        <f t="shared" si="36"/>
        <v>159.03748111299183</v>
      </c>
      <c r="N50" s="95">
        <f t="shared" si="36"/>
        <v>182.12399816871226</v>
      </c>
      <c r="O50" s="95">
        <f t="shared" si="36"/>
        <v>208.41299313365829</v>
      </c>
      <c r="P50" s="95">
        <f t="shared" si="36"/>
        <v>238.32734084485833</v>
      </c>
      <c r="Q50" s="95">
        <f t="shared" si="36"/>
        <v>272.34282170371279</v>
      </c>
      <c r="R50" s="81">
        <f t="shared" si="34"/>
        <v>0.14725219334836051</v>
      </c>
      <c r="S50" s="68" t="s">
        <v>23</v>
      </c>
      <c r="T50" s="74">
        <v>0.34999999999999987</v>
      </c>
      <c r="U50" s="74">
        <v>0.34938588387166564</v>
      </c>
      <c r="V50" s="74">
        <v>0.34877284528224306</v>
      </c>
      <c r="W50" s="74">
        <v>0.34816088234106346</v>
      </c>
      <c r="X50" s="74">
        <v>0.34754999316077562</v>
      </c>
      <c r="Y50" s="74">
        <v>0.34694017585733994</v>
      </c>
      <c r="Z50" s="74">
        <v>0.34633142855002247</v>
      </c>
      <c r="AA50" s="74">
        <v>0.34572374936138933</v>
      </c>
      <c r="AB50" s="74">
        <v>0.34511713641730069</v>
      </c>
      <c r="AC50" s="74">
        <v>0.34451158784690528</v>
      </c>
      <c r="AD50" s="74">
        <v>0.34390710178263434</v>
      </c>
      <c r="AE50" s="74">
        <v>0.34330367636019604</v>
      </c>
      <c r="AF50" s="74">
        <v>0.34270130971856966</v>
      </c>
      <c r="AG50" s="74">
        <v>0.34209999999999979</v>
      </c>
    </row>
    <row r="51" spans="1:33" x14ac:dyDescent="0.25">
      <c r="A51" s="112"/>
      <c r="B51" s="68" t="s">
        <v>24</v>
      </c>
      <c r="C51" s="48"/>
      <c r="D51" s="95">
        <f>D49*T51</f>
        <v>36.355550000000001</v>
      </c>
      <c r="E51" s="95">
        <f t="shared" ref="E51:Q51" si="37">E49*U51</f>
        <v>42.128691670384782</v>
      </c>
      <c r="F51" s="95">
        <f t="shared" si="37"/>
        <v>48.78216298750678</v>
      </c>
      <c r="G51" s="95">
        <f t="shared" si="37"/>
        <v>56.444490182455127</v>
      </c>
      <c r="H51" s="95">
        <f t="shared" si="37"/>
        <v>65.262102967169326</v>
      </c>
      <c r="I51" s="95">
        <f t="shared" si="37"/>
        <v>75.401704039335257</v>
      </c>
      <c r="J51" s="95">
        <f t="shared" si="37"/>
        <v>87.052935005892081</v>
      </c>
      <c r="K51" s="95">
        <f t="shared" si="37"/>
        <v>100.4313735460731</v>
      </c>
      <c r="L51" s="95">
        <f t="shared" si="37"/>
        <v>115.78190044332796</v>
      </c>
      <c r="M51" s="95">
        <f t="shared" si="37"/>
        <v>133.38247930719143</v>
      </c>
      <c r="N51" s="95">
        <f t="shared" si="37"/>
        <v>153.54839641607379</v>
      </c>
      <c r="O51" s="95">
        <f t="shared" si="37"/>
        <v>176.63701317774184</v>
      </c>
      <c r="P51" s="95">
        <f t="shared" si="37"/>
        <v>203.05308926661604</v>
      </c>
      <c r="Q51" s="95">
        <f t="shared" si="37"/>
        <v>233.25474059978896</v>
      </c>
      <c r="R51" s="81">
        <f t="shared" si="34"/>
        <v>0.15328782926119427</v>
      </c>
      <c r="S51" s="68" t="s">
        <v>24</v>
      </c>
      <c r="T51" s="74">
        <v>0.28000000000000003</v>
      </c>
      <c r="U51" s="74">
        <v>0.28097918830490543</v>
      </c>
      <c r="V51" s="74">
        <v>0.28196180093029821</v>
      </c>
      <c r="W51" s="74">
        <v>0.28294784985137333</v>
      </c>
      <c r="X51" s="74">
        <v>0.28393734708520407</v>
      </c>
      <c r="Y51" s="74">
        <v>0.28493030469088876</v>
      </c>
      <c r="Z51" s="74">
        <v>0.28592673476969749</v>
      </c>
      <c r="AA51" s="74">
        <v>0.28692664946521995</v>
      </c>
      <c r="AB51" s="74">
        <v>0.28793006096351298</v>
      </c>
      <c r="AC51" s="74">
        <v>0.28893698149324931</v>
      </c>
      <c r="AD51" s="74">
        <v>0.28994742332586665</v>
      </c>
      <c r="AE51" s="74">
        <v>0.29096139877571725</v>
      </c>
      <c r="AF51" s="74">
        <v>0.29197892020021765</v>
      </c>
      <c r="AG51" s="74">
        <v>0.29299999999999965</v>
      </c>
    </row>
    <row r="52" spans="1:33" x14ac:dyDescent="0.25">
      <c r="A52" s="112"/>
      <c r="B52" s="68" t="s">
        <v>25</v>
      </c>
      <c r="C52" s="48"/>
      <c r="D52" s="95">
        <f>D49*T52</f>
        <v>48.041262500000016</v>
      </c>
      <c r="E52" s="95">
        <f t="shared" ref="E52:Q52" si="38">E49*U52</f>
        <v>55.421314293142281</v>
      </c>
      <c r="F52" s="95">
        <f t="shared" si="38"/>
        <v>63.886535745855063</v>
      </c>
      <c r="G52" s="95">
        <f t="shared" si="38"/>
        <v>73.589106809239695</v>
      </c>
      <c r="H52" s="95">
        <f t="shared" si="38"/>
        <v>84.701471618509544</v>
      </c>
      <c r="I52" s="95">
        <f t="shared" si="38"/>
        <v>97.418886713220772</v>
      </c>
      <c r="J52" s="95">
        <f t="shared" si="38"/>
        <v>111.96226975158859</v>
      </c>
      <c r="K52" s="95">
        <f t="shared" si="38"/>
        <v>128.58138163955331</v>
      </c>
      <c r="L52" s="95">
        <f t="shared" si="38"/>
        <v>147.55837830228771</v>
      </c>
      <c r="M52" s="95">
        <f t="shared" si="38"/>
        <v>169.21177193148793</v>
      </c>
      <c r="N52" s="95">
        <f t="shared" si="38"/>
        <v>193.90084546951002</v>
      </c>
      <c r="O52" s="95">
        <f t="shared" si="38"/>
        <v>222.03056836613479</v>
      </c>
      <c r="P52" s="95">
        <f t="shared" si="38"/>
        <v>254.05706629195504</v>
      </c>
      <c r="Q52" s="95">
        <f t="shared" si="38"/>
        <v>290.49370254219531</v>
      </c>
      <c r="R52" s="81">
        <f t="shared" si="34"/>
        <v>0.14803463845658585</v>
      </c>
      <c r="S52" s="68" t="s">
        <v>25</v>
      </c>
      <c r="T52" s="74">
        <f>1-SUM(T50:T51)</f>
        <v>0.37000000000000011</v>
      </c>
      <c r="U52" s="74">
        <f t="shared" ref="U52:AG52" si="39">1-SUM(U50:U51)</f>
        <v>0.36963492782342899</v>
      </c>
      <c r="V52" s="74">
        <f t="shared" si="39"/>
        <v>0.36926535378745873</v>
      </c>
      <c r="W52" s="74">
        <f t="shared" si="39"/>
        <v>0.36889126780756321</v>
      </c>
      <c r="X52" s="74">
        <f t="shared" si="39"/>
        <v>0.36851265975402026</v>
      </c>
      <c r="Y52" s="74">
        <f t="shared" si="39"/>
        <v>0.3681295194517713</v>
      </c>
      <c r="Z52" s="74">
        <f t="shared" si="39"/>
        <v>0.36774183668028004</v>
      </c>
      <c r="AA52" s="74">
        <f t="shared" si="39"/>
        <v>0.36734960117339077</v>
      </c>
      <c r="AB52" s="74">
        <f t="shared" si="39"/>
        <v>0.36695280261918639</v>
      </c>
      <c r="AC52" s="74">
        <f t="shared" si="39"/>
        <v>0.36655143065984541</v>
      </c>
      <c r="AD52" s="74">
        <f t="shared" si="39"/>
        <v>0.36614547489149896</v>
      </c>
      <c r="AE52" s="74">
        <f t="shared" si="39"/>
        <v>0.36573492486408665</v>
      </c>
      <c r="AF52" s="74">
        <f t="shared" si="39"/>
        <v>0.36531977008121275</v>
      </c>
      <c r="AG52" s="74">
        <f t="shared" si="39"/>
        <v>0.36490000000000056</v>
      </c>
    </row>
    <row r="53" spans="1:33" ht="15.75" thickBot="1" x14ac:dyDescent="0.3">
      <c r="A53" s="111"/>
      <c r="B53" s="69" t="s">
        <v>26</v>
      </c>
      <c r="C53" s="58"/>
      <c r="D53" s="96">
        <f>D38*T53</f>
        <v>126.424375</v>
      </c>
      <c r="E53" s="96">
        <f t="shared" ref="E53:Q53" si="40">E38*U53</f>
        <v>144.6702721893372</v>
      </c>
      <c r="F53" s="96">
        <f t="shared" si="40"/>
        <v>165.41311826093221</v>
      </c>
      <c r="G53" s="96">
        <f t="shared" si="40"/>
        <v>188.97472685533808</v>
      </c>
      <c r="H53" s="96">
        <f t="shared" si="40"/>
        <v>215.71560701091113</v>
      </c>
      <c r="I53" s="96">
        <f t="shared" si="40"/>
        <v>246.03924389731162</v>
      </c>
      <c r="J53" s="96">
        <f t="shared" si="40"/>
        <v>280.39680541442766</v>
      </c>
      <c r="K53" s="96">
        <f t="shared" si="40"/>
        <v>319.29231113017306</v>
      </c>
      <c r="L53" s="96">
        <f t="shared" si="40"/>
        <v>363.28830243969122</v>
      </c>
      <c r="M53" s="96">
        <f t="shared" si="40"/>
        <v>413.01205530731778</v>
      </c>
      <c r="N53" s="96">
        <f t="shared" si="40"/>
        <v>469.16237948996775</v>
      </c>
      <c r="O53" s="96">
        <f t="shared" si="40"/>
        <v>532.51705072262689</v>
      </c>
      <c r="P53" s="96">
        <f t="shared" si="40"/>
        <v>603.94092495664722</v>
      </c>
      <c r="Q53" s="96">
        <f t="shared" si="40"/>
        <v>684.39478635969328</v>
      </c>
      <c r="R53" s="82">
        <f t="shared" si="34"/>
        <v>0.13826648703325056</v>
      </c>
      <c r="S53" s="69" t="s">
        <v>26</v>
      </c>
      <c r="T53" s="12">
        <f>1-SUM(T48+T49)</f>
        <v>0.37</v>
      </c>
      <c r="U53" s="12">
        <f t="shared" ref="U53:AG53" si="41">1-SUM(U48+U49)</f>
        <v>0.36753417522645271</v>
      </c>
      <c r="V53" s="12">
        <f t="shared" si="41"/>
        <v>0.36505648803236646</v>
      </c>
      <c r="W53" s="12">
        <f t="shared" si="41"/>
        <v>0.36256687293191459</v>
      </c>
      <c r="X53" s="12">
        <f t="shared" si="41"/>
        <v>0.36006526405167993</v>
      </c>
      <c r="Y53" s="12">
        <f t="shared" si="41"/>
        <v>0.35755159512829038</v>
      </c>
      <c r="Z53" s="12">
        <f t="shared" si="41"/>
        <v>0.35502579950603996</v>
      </c>
      <c r="AA53" s="12">
        <f t="shared" si="41"/>
        <v>0.35248781013449515</v>
      </c>
      <c r="AB53" s="12">
        <f t="shared" si="41"/>
        <v>0.34993755956608608</v>
      </c>
      <c r="AC53" s="12">
        <f t="shared" si="41"/>
        <v>0.3473749799536836</v>
      </c>
      <c r="AD53" s="12">
        <f t="shared" si="41"/>
        <v>0.34480000304816039</v>
      </c>
      <c r="AE53" s="12">
        <f t="shared" si="41"/>
        <v>0.34221256019593804</v>
      </c>
      <c r="AF53" s="12">
        <f t="shared" si="41"/>
        <v>0.33961258233651859</v>
      </c>
      <c r="AG53" s="12">
        <f t="shared" si="41"/>
        <v>0.33699999999999986</v>
      </c>
    </row>
    <row r="54" spans="1:33" ht="15.75" thickBot="1" x14ac:dyDescent="0.3">
      <c r="A54" s="2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21"/>
    </row>
    <row r="55" spans="1:33" x14ac:dyDescent="0.25">
      <c r="A55" s="113" t="s">
        <v>27</v>
      </c>
      <c r="B55" s="61" t="s">
        <v>28</v>
      </c>
      <c r="C55" s="56"/>
      <c r="D55" s="91">
        <f>D38*T55</f>
        <v>137.01668749999999</v>
      </c>
      <c r="E55" s="91">
        <f t="shared" ref="E55:Q55" si="42">E38*U55</f>
        <v>158.49305996008803</v>
      </c>
      <c r="F55" s="91">
        <f t="shared" si="42"/>
        <v>183.19890121347811</v>
      </c>
      <c r="G55" s="91">
        <f t="shared" si="42"/>
        <v>211.59865356340896</v>
      </c>
      <c r="H55" s="91">
        <f t="shared" si="42"/>
        <v>244.22040253823695</v>
      </c>
      <c r="I55" s="91">
        <f t="shared" si="42"/>
        <v>281.66414940309284</v>
      </c>
      <c r="J55" s="91">
        <f t="shared" si="42"/>
        <v>324.61109795566671</v>
      </c>
      <c r="K55" s="91">
        <f t="shared" si="42"/>
        <v>373.83407207644984</v>
      </c>
      <c r="L55" s="91">
        <f t="shared" si="42"/>
        <v>430.20919291127814</v>
      </c>
      <c r="M55" s="91">
        <f t="shared" si="42"/>
        <v>494.72895818162988</v>
      </c>
      <c r="N55" s="91">
        <f t="shared" si="42"/>
        <v>568.51688105174605</v>
      </c>
      <c r="O55" s="91">
        <f t="shared" si="42"/>
        <v>652.84386234524914</v>
      </c>
      <c r="P55" s="91">
        <f t="shared" si="42"/>
        <v>749.14648782004861</v>
      </c>
      <c r="Q55" s="91">
        <f t="shared" si="42"/>
        <v>859.04746181053406</v>
      </c>
      <c r="R55" s="78">
        <f>RATE(12,,-E55,Q55)</f>
        <v>0.15124363582963118</v>
      </c>
      <c r="S55" s="61" t="s">
        <v>28</v>
      </c>
      <c r="T55" s="12">
        <v>0.40099999999999997</v>
      </c>
      <c r="U55" s="12">
        <v>0.40265090533119946</v>
      </c>
      <c r="V55" s="12">
        <v>0.40430860739160734</v>
      </c>
      <c r="W55" s="12">
        <v>0.40597313416316017</v>
      </c>
      <c r="X55" s="12">
        <v>0.40764451374299493</v>
      </c>
      <c r="Y55" s="12">
        <v>0.40932277434392395</v>
      </c>
      <c r="Z55" s="12">
        <v>0.41100794429491083</v>
      </c>
      <c r="AA55" s="12">
        <v>0.4127000520415488</v>
      </c>
      <c r="AB55" s="12">
        <v>0.41439912614654062</v>
      </c>
      <c r="AC55" s="12">
        <v>0.41610519529018092</v>
      </c>
      <c r="AD55" s="12">
        <v>0.41781828827084017</v>
      </c>
      <c r="AE55" s="12">
        <v>0.4195384340054511</v>
      </c>
      <c r="AF55" s="12">
        <v>0.4212656615299965</v>
      </c>
      <c r="AG55" s="12">
        <v>0.42299999999999938</v>
      </c>
    </row>
    <row r="56" spans="1:33" x14ac:dyDescent="0.25">
      <c r="A56" s="114"/>
      <c r="B56" s="62" t="s">
        <v>29</v>
      </c>
      <c r="C56" s="47"/>
      <c r="D56" s="97">
        <f>D38*T56</f>
        <v>147.2673125</v>
      </c>
      <c r="E56" s="97">
        <f t="shared" ref="E56:Q56" si="43">E38*U56</f>
        <v>169.98115015021602</v>
      </c>
      <c r="F56" s="97">
        <f t="shared" si="43"/>
        <v>196.05187200684975</v>
      </c>
      <c r="G56" s="97">
        <f t="shared" si="43"/>
        <v>225.95327716550082</v>
      </c>
      <c r="H56" s="97">
        <f t="shared" si="43"/>
        <v>260.22277459965892</v>
      </c>
      <c r="I56" s="97">
        <f t="shared" si="43"/>
        <v>299.46946661817412</v>
      </c>
      <c r="J56" s="97">
        <f t="shared" si="43"/>
        <v>344.38319867784907</v>
      </c>
      <c r="K56" s="97">
        <f t="shared" si="43"/>
        <v>395.74468336478634</v>
      </c>
      <c r="L56" s="97">
        <f t="shared" si="43"/>
        <v>454.43681746300524</v>
      </c>
      <c r="M56" s="97">
        <f t="shared" si="43"/>
        <v>521.45732317345585</v>
      </c>
      <c r="N56" s="97">
        <f t="shared" si="43"/>
        <v>597.93285781730799</v>
      </c>
      <c r="O56" s="97">
        <f t="shared" si="43"/>
        <v>685.13475084675269</v>
      </c>
      <c r="P56" s="97">
        <f t="shared" si="43"/>
        <v>784.49654279343963</v>
      </c>
      <c r="Q56" s="97">
        <f t="shared" si="43"/>
        <v>897.63351801479166</v>
      </c>
      <c r="R56" s="83">
        <f>RATE(12,,-E56,Q56)</f>
        <v>0.1487482376466229</v>
      </c>
      <c r="S56" s="62" t="s">
        <v>29</v>
      </c>
      <c r="T56" s="12">
        <v>0.43099999999999999</v>
      </c>
      <c r="U56" s="12">
        <v>0.43183634674261745</v>
      </c>
      <c r="V56" s="12">
        <v>0.43267431639909548</v>
      </c>
      <c r="W56" s="12">
        <v>0.43351391211866536</v>
      </c>
      <c r="X56" s="12">
        <v>0.43435513705666956</v>
      </c>
      <c r="Y56" s="12">
        <v>0.43519799437457324</v>
      </c>
      <c r="Z56" s="12">
        <v>0.43604248723997657</v>
      </c>
      <c r="AA56" s="12">
        <v>0.43688861882662616</v>
      </c>
      <c r="AB56" s="12">
        <v>0.43773639231442729</v>
      </c>
      <c r="AC56" s="12">
        <v>0.43858581088945586</v>
      </c>
      <c r="AD56" s="12">
        <v>0.43943687774397006</v>
      </c>
      <c r="AE56" s="12">
        <v>0.44028959607642287</v>
      </c>
      <c r="AF56" s="12">
        <v>0.44114396909147369</v>
      </c>
      <c r="AG56" s="12">
        <v>0.44200000000000028</v>
      </c>
    </row>
    <row r="57" spans="1:33" ht="15.75" thickBot="1" x14ac:dyDescent="0.3">
      <c r="A57" s="115"/>
      <c r="B57" s="63" t="s">
        <v>30</v>
      </c>
      <c r="C57" s="51"/>
      <c r="D57" s="92">
        <f>D38*T57</f>
        <v>57.403500000000015</v>
      </c>
      <c r="E57" s="92">
        <f t="shared" ref="E57:Q57" si="44">E38*U57</f>
        <v>65.149789889695882</v>
      </c>
      <c r="F57" s="92">
        <f t="shared" si="44"/>
        <v>73.865727057476931</v>
      </c>
      <c r="G57" s="92">
        <f t="shared" si="44"/>
        <v>83.661508676584646</v>
      </c>
      <c r="H57" s="92">
        <f t="shared" si="44"/>
        <v>94.658231822090883</v>
      </c>
      <c r="I57" s="92">
        <f t="shared" si="44"/>
        <v>106.98873401057141</v>
      </c>
      <c r="J57" s="92">
        <f t="shared" si="44"/>
        <v>120.79846153942179</v>
      </c>
      <c r="K57" s="92">
        <f t="shared" si="44"/>
        <v>136.24635949917547</v>
      </c>
      <c r="L57" s="92">
        <f t="shared" si="44"/>
        <v>153.50577559050342</v>
      </c>
      <c r="M57" s="92">
        <f t="shared" si="44"/>
        <v>172.76536784655136</v>
      </c>
      <c r="N57" s="92">
        <f t="shared" si="44"/>
        <v>194.23000400332904</v>
      </c>
      <c r="O57" s="92">
        <f t="shared" si="44"/>
        <v>218.12163753441121</v>
      </c>
      <c r="P57" s="92">
        <f t="shared" si="44"/>
        <v>244.68014222528618</v>
      </c>
      <c r="Q57" s="92">
        <f t="shared" si="44"/>
        <v>274.16408355655454</v>
      </c>
      <c r="R57" s="79">
        <f>RATE(12,,-E57,Q57)</f>
        <v>0.12721855334394358</v>
      </c>
      <c r="S57" s="63" t="s">
        <v>30</v>
      </c>
      <c r="T57" s="12">
        <f>1-SUM(T55:T56)</f>
        <v>0.16800000000000004</v>
      </c>
      <c r="U57" s="12">
        <f t="shared" ref="U57:AG57" si="45">1-SUM(U55:U56)</f>
        <v>0.16551274792618309</v>
      </c>
      <c r="V57" s="12">
        <f t="shared" si="45"/>
        <v>0.16301707620929717</v>
      </c>
      <c r="W57" s="12">
        <f t="shared" si="45"/>
        <v>0.16051295371817442</v>
      </c>
      <c r="X57" s="12">
        <f t="shared" si="45"/>
        <v>0.15800034920033545</v>
      </c>
      <c r="Y57" s="12">
        <f t="shared" si="45"/>
        <v>0.15547923128150276</v>
      </c>
      <c r="Z57" s="12">
        <f t="shared" si="45"/>
        <v>0.15294956846511254</v>
      </c>
      <c r="AA57" s="12">
        <f t="shared" si="45"/>
        <v>0.15041132913182498</v>
      </c>
      <c r="AB57" s="12">
        <f t="shared" si="45"/>
        <v>0.14786448153903209</v>
      </c>
      <c r="AC57" s="12">
        <f t="shared" si="45"/>
        <v>0.14530899382036322</v>
      </c>
      <c r="AD57" s="12">
        <f t="shared" si="45"/>
        <v>0.14274483398518978</v>
      </c>
      <c r="AE57" s="12">
        <f t="shared" si="45"/>
        <v>0.14017196991812608</v>
      </c>
      <c r="AF57" s="12">
        <f t="shared" si="45"/>
        <v>0.13759036937852986</v>
      </c>
      <c r="AG57" s="12">
        <f t="shared" si="45"/>
        <v>0.13500000000000034</v>
      </c>
    </row>
    <row r="61" spans="1:33" ht="26.25" x14ac:dyDescent="0.4">
      <c r="A61" s="109" t="s">
        <v>57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70"/>
    </row>
    <row r="62" spans="1:33" ht="24" thickBot="1" x14ac:dyDescent="0.4">
      <c r="A62" s="70"/>
      <c r="B62" s="70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spans="1:33" ht="15.75" x14ac:dyDescent="0.25">
      <c r="A63" s="49"/>
      <c r="B63" s="50"/>
      <c r="C63" s="100"/>
      <c r="D63" s="98">
        <v>2023</v>
      </c>
      <c r="E63" s="72">
        <v>2024</v>
      </c>
      <c r="F63" s="72">
        <v>2025</v>
      </c>
      <c r="G63" s="72">
        <v>2026</v>
      </c>
      <c r="H63" s="72">
        <v>2027</v>
      </c>
      <c r="I63" s="72">
        <v>2028</v>
      </c>
      <c r="J63" s="72">
        <v>2029</v>
      </c>
      <c r="K63" s="72">
        <v>2030</v>
      </c>
      <c r="L63" s="72">
        <v>2031</v>
      </c>
      <c r="M63" s="72">
        <v>2032</v>
      </c>
      <c r="N63" s="72">
        <v>2033</v>
      </c>
      <c r="O63" s="72">
        <v>2034</v>
      </c>
      <c r="P63" s="72">
        <v>2035</v>
      </c>
      <c r="Q63" s="72">
        <v>2036</v>
      </c>
      <c r="R63" s="73" t="s">
        <v>13</v>
      </c>
    </row>
    <row r="64" spans="1:33" ht="16.5" thickBot="1" x14ac:dyDescent="0.3">
      <c r="A64" s="26"/>
      <c r="B64" s="101"/>
      <c r="C64" s="102"/>
      <c r="D64" s="99">
        <f>'Market Analysis'!C20</f>
        <v>273.35000000000002</v>
      </c>
      <c r="E64" s="99">
        <f>'Market Analysis'!D20</f>
        <v>307.92877500000003</v>
      </c>
      <c r="F64" s="99">
        <f>'Market Analysis'!E20</f>
        <v>347.37235876928582</v>
      </c>
      <c r="G64" s="99">
        <f>'Market Analysis'!F20</f>
        <v>392.42880331138997</v>
      </c>
      <c r="H64" s="99">
        <f>'Market Analysis'!G20</f>
        <v>443.97042795745472</v>
      </c>
      <c r="I64" s="99">
        <f>'Market Analysis'!H20</f>
        <v>503.01593260840423</v>
      </c>
      <c r="J64" s="99">
        <f>'Market Analysis'!I20</f>
        <v>570.75669870569152</v>
      </c>
      <c r="K64" s="99">
        <f>'Market Analysis'!J20</f>
        <v>648.58811752317786</v>
      </c>
      <c r="L64" s="99">
        <f>'Market Analysis'!K20</f>
        <v>738.14696281781039</v>
      </c>
      <c r="M64" s="99">
        <f>'Market Analysis'!L20</f>
        <v>841.35604171394914</v>
      </c>
      <c r="N64" s="99">
        <f>'Market Analysis'!M20</f>
        <v>960.47762308300378</v>
      </c>
      <c r="O64" s="99">
        <f>'Market Analysis'!N20</f>
        <v>1098.1774679974685</v>
      </c>
      <c r="P64" s="99">
        <f>'Market Analysis'!O20</f>
        <v>1257.6016862535316</v>
      </c>
      <c r="Q64" s="99">
        <f>'Market Analysis'!P20</f>
        <v>1442.4691341328012</v>
      </c>
      <c r="R64" s="75">
        <f>RATE(12,,-E64,Q64)</f>
        <v>0.13733399705327068</v>
      </c>
      <c r="T64" s="72">
        <v>2023</v>
      </c>
      <c r="U64" s="72">
        <v>2024</v>
      </c>
      <c r="V64" s="72">
        <v>2025</v>
      </c>
      <c r="W64" s="72">
        <v>2026</v>
      </c>
      <c r="X64" s="72">
        <v>2027</v>
      </c>
      <c r="Y64" s="72">
        <v>2028</v>
      </c>
      <c r="Z64" s="72">
        <v>2029</v>
      </c>
      <c r="AA64" s="72">
        <v>2030</v>
      </c>
      <c r="AB64" s="72">
        <v>2031</v>
      </c>
      <c r="AC64" s="72">
        <v>2032</v>
      </c>
      <c r="AD64" s="72">
        <v>2033</v>
      </c>
      <c r="AE64" s="72">
        <v>2034</v>
      </c>
      <c r="AF64" s="72">
        <v>2035</v>
      </c>
      <c r="AG64" s="72">
        <v>2036</v>
      </c>
    </row>
    <row r="65" spans="1:33" x14ac:dyDescent="0.25">
      <c r="A65" s="110" t="s">
        <v>51</v>
      </c>
      <c r="B65" s="59" t="s">
        <v>34</v>
      </c>
      <c r="C65" s="52"/>
      <c r="D65" s="86">
        <f>D64*T65</f>
        <v>153.07600000000002</v>
      </c>
      <c r="E65" s="86">
        <f t="shared" ref="E65:Q65" si="46">E64*U65</f>
        <v>172.72390537059405</v>
      </c>
      <c r="F65" s="86">
        <f t="shared" si="46"/>
        <v>195.16933401645446</v>
      </c>
      <c r="G65" s="86">
        <f t="shared" si="46"/>
        <v>220.84691972298737</v>
      </c>
      <c r="H65" s="86">
        <f t="shared" si="46"/>
        <v>250.26416127902192</v>
      </c>
      <c r="I65" s="86">
        <f t="shared" si="46"/>
        <v>284.01449606360728</v>
      </c>
      <c r="J65" s="86">
        <f t="shared" si="46"/>
        <v>322.79286818551748</v>
      </c>
      <c r="K65" s="86">
        <f t="shared" si="46"/>
        <v>367.41429479590636</v>
      </c>
      <c r="L65" s="86">
        <f t="shared" si="46"/>
        <v>418.83604132433607</v>
      </c>
      <c r="M65" s="86">
        <f t="shared" si="46"/>
        <v>478.18414744522011</v>
      </c>
      <c r="N65" s="86">
        <f t="shared" si="46"/>
        <v>546.78520615983325</v>
      </c>
      <c r="O65" s="86">
        <f t="shared" si="46"/>
        <v>626.20449543830716</v>
      </c>
      <c r="P65" s="86">
        <f t="shared" si="46"/>
        <v>718.29180407931415</v>
      </c>
      <c r="Q65" s="86">
        <f t="shared" si="46"/>
        <v>825.2365916373742</v>
      </c>
      <c r="R65" s="84">
        <f>RATE(12,,-E65,Q65)</f>
        <v>0.13920575163728147</v>
      </c>
      <c r="S65" s="59" t="s">
        <v>34</v>
      </c>
      <c r="T65" s="12">
        <v>0.56000000000000005</v>
      </c>
      <c r="U65" s="12">
        <v>0.56092161367703952</v>
      </c>
      <c r="V65" s="12">
        <v>0.56184474408938223</v>
      </c>
      <c r="W65" s="12">
        <v>0.56276939373317769</v>
      </c>
      <c r="X65" s="12">
        <v>0.56369556510868446</v>
      </c>
      <c r="Y65" s="12">
        <v>0.56462326072027491</v>
      </c>
      <c r="Z65" s="12">
        <v>0.56555248307644368</v>
      </c>
      <c r="AA65" s="12">
        <v>0.56648323468981299</v>
      </c>
      <c r="AB65" s="12">
        <v>0.56741551807714108</v>
      </c>
      <c r="AC65" s="12">
        <v>0.56834933575932756</v>
      </c>
      <c r="AD65" s="12">
        <v>0.56928469026142059</v>
      </c>
      <c r="AE65" s="12">
        <v>0.57022158411262425</v>
      </c>
      <c r="AF65" s="12">
        <v>0.57116001984630527</v>
      </c>
      <c r="AG65" s="12">
        <v>0.57209999999999905</v>
      </c>
    </row>
    <row r="66" spans="1:33" ht="15.75" thickBot="1" x14ac:dyDescent="0.3">
      <c r="A66" s="111"/>
      <c r="B66" s="60" t="s">
        <v>35</v>
      </c>
      <c r="C66" s="53"/>
      <c r="D66" s="87">
        <f>D64*T66</f>
        <v>120.274</v>
      </c>
      <c r="E66" s="87">
        <f t="shared" ref="E66:Q66" si="47">E64*U66</f>
        <v>135.20486962940598</v>
      </c>
      <c r="F66" s="87">
        <f t="shared" si="47"/>
        <v>152.20302475283137</v>
      </c>
      <c r="G66" s="87">
        <f t="shared" si="47"/>
        <v>171.5818835884026</v>
      </c>
      <c r="H66" s="87">
        <f t="shared" si="47"/>
        <v>193.7062666784328</v>
      </c>
      <c r="I66" s="87">
        <f t="shared" si="47"/>
        <v>219.00143654479697</v>
      </c>
      <c r="J66" s="87">
        <f t="shared" si="47"/>
        <v>247.96383052017404</v>
      </c>
      <c r="K66" s="87">
        <f t="shared" si="47"/>
        <v>281.1738227272715</v>
      </c>
      <c r="L66" s="87">
        <f t="shared" si="47"/>
        <v>319.31092149347432</v>
      </c>
      <c r="M66" s="87">
        <f t="shared" si="47"/>
        <v>363.17189426872903</v>
      </c>
      <c r="N66" s="87">
        <f t="shared" si="47"/>
        <v>413.69241692317053</v>
      </c>
      <c r="O66" s="87">
        <f t="shared" si="47"/>
        <v>471.97297255916129</v>
      </c>
      <c r="P66" s="87">
        <f t="shared" si="47"/>
        <v>539.30988217421748</v>
      </c>
      <c r="Q66" s="87">
        <f t="shared" si="47"/>
        <v>617.23254249542697</v>
      </c>
      <c r="R66" s="85">
        <f>RATE(12,,-E66,Q66)</f>
        <v>0.134892449940543</v>
      </c>
      <c r="S66" s="60" t="s">
        <v>35</v>
      </c>
      <c r="T66" s="12">
        <f>1-T65</f>
        <v>0.43999999999999995</v>
      </c>
      <c r="U66" s="12">
        <f t="shared" ref="U66:AG66" si="48">1-U65</f>
        <v>0.43907838632296048</v>
      </c>
      <c r="V66" s="12">
        <f t="shared" si="48"/>
        <v>0.43815525591061777</v>
      </c>
      <c r="W66" s="12">
        <f t="shared" si="48"/>
        <v>0.43723060626682231</v>
      </c>
      <c r="X66" s="12">
        <f t="shared" si="48"/>
        <v>0.43630443489131554</v>
      </c>
      <c r="Y66" s="12">
        <f t="shared" si="48"/>
        <v>0.43537673927972509</v>
      </c>
      <c r="Z66" s="12">
        <f t="shared" si="48"/>
        <v>0.43444751692355632</v>
      </c>
      <c r="AA66" s="12">
        <f t="shared" si="48"/>
        <v>0.43351676531018701</v>
      </c>
      <c r="AB66" s="12">
        <f t="shared" si="48"/>
        <v>0.43258448192285892</v>
      </c>
      <c r="AC66" s="12">
        <f t="shared" si="48"/>
        <v>0.43165066424067244</v>
      </c>
      <c r="AD66" s="12">
        <f t="shared" si="48"/>
        <v>0.43071530973857941</v>
      </c>
      <c r="AE66" s="12">
        <f t="shared" si="48"/>
        <v>0.42977841588737575</v>
      </c>
      <c r="AF66" s="12">
        <f t="shared" si="48"/>
        <v>0.42883998015369473</v>
      </c>
      <c r="AG66" s="12">
        <f t="shared" si="48"/>
        <v>0.42790000000000095</v>
      </c>
    </row>
    <row r="67" spans="1:33" ht="15.75" thickBot="1" x14ac:dyDescent="0.3">
      <c r="A67" s="1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21"/>
    </row>
    <row r="68" spans="1:33" x14ac:dyDescent="0.25">
      <c r="A68" s="110" t="s">
        <v>15</v>
      </c>
      <c r="B68" s="64" t="s">
        <v>16</v>
      </c>
      <c r="C68" s="54"/>
      <c r="D68" s="89">
        <f>D64*T68</f>
        <v>128.74785</v>
      </c>
      <c r="E68" s="89">
        <f t="shared" ref="E68:Q68" si="49">E64*U68</f>
        <v>144.84495839423076</v>
      </c>
      <c r="F68" s="89">
        <f t="shared" si="49"/>
        <v>163.18484576954063</v>
      </c>
      <c r="G68" s="89">
        <f t="shared" si="49"/>
        <v>184.10948241508979</v>
      </c>
      <c r="H68" s="89">
        <f t="shared" si="49"/>
        <v>208.0172212837582</v>
      </c>
      <c r="I68" s="89">
        <f t="shared" si="49"/>
        <v>235.3727629274556</v>
      </c>
      <c r="J68" s="89">
        <f t="shared" si="49"/>
        <v>266.71899574131351</v>
      </c>
      <c r="K68" s="89">
        <f t="shared" si="49"/>
        <v>302.69108530870147</v>
      </c>
      <c r="L68" s="89">
        <f t="shared" si="49"/>
        <v>344.03326520870098</v>
      </c>
      <c r="M68" s="89">
        <f t="shared" si="49"/>
        <v>391.61887757008509</v>
      </c>
      <c r="N68" s="89">
        <f t="shared" si="49"/>
        <v>446.4743289454301</v>
      </c>
      <c r="O68" s="89">
        <f t="shared" si="49"/>
        <v>509.80777072036324</v>
      </c>
      <c r="P68" s="89">
        <f t="shared" si="49"/>
        <v>583.04348946538732</v>
      </c>
      <c r="Q68" s="89">
        <f t="shared" si="49"/>
        <v>667.86320910348695</v>
      </c>
      <c r="R68" s="76">
        <f>RATE(12,,-E68,Q68)</f>
        <v>0.13583525543204761</v>
      </c>
      <c r="S68" s="64" t="s">
        <v>16</v>
      </c>
      <c r="T68" s="12">
        <v>0.47099999999999992</v>
      </c>
      <c r="U68" s="12">
        <v>0.47038461538461535</v>
      </c>
      <c r="V68" s="12">
        <v>0.46976923076923072</v>
      </c>
      <c r="W68" s="12">
        <v>0.46915384615384609</v>
      </c>
      <c r="X68" s="12">
        <v>0.46853846153846151</v>
      </c>
      <c r="Y68" s="12">
        <v>0.46792307692307689</v>
      </c>
      <c r="Z68" s="12">
        <v>0.46730769230769226</v>
      </c>
      <c r="AA68" s="12">
        <v>0.46669230769230763</v>
      </c>
      <c r="AB68" s="12">
        <v>0.46607692307692306</v>
      </c>
      <c r="AC68" s="12">
        <v>0.46546153846153843</v>
      </c>
      <c r="AD68" s="12">
        <v>0.4648461538461538</v>
      </c>
      <c r="AE68" s="12">
        <v>0.46423076923076922</v>
      </c>
      <c r="AF68" s="12">
        <v>0.4636153846153846</v>
      </c>
      <c r="AG68" s="12">
        <v>0.46299999999999997</v>
      </c>
    </row>
    <row r="69" spans="1:33" ht="15.75" thickBot="1" x14ac:dyDescent="0.3">
      <c r="A69" s="111"/>
      <c r="B69" s="65" t="s">
        <v>17</v>
      </c>
      <c r="C69" s="55"/>
      <c r="D69" s="90">
        <f>D64*T69</f>
        <v>144.60215000000005</v>
      </c>
      <c r="E69" s="90">
        <f t="shared" ref="E69:Q69" si="50">E64*U69</f>
        <v>163.08381660576924</v>
      </c>
      <c r="F69" s="90">
        <f t="shared" si="50"/>
        <v>184.18751299974519</v>
      </c>
      <c r="G69" s="90">
        <f t="shared" si="50"/>
        <v>208.31932089630021</v>
      </c>
      <c r="H69" s="90">
        <f t="shared" si="50"/>
        <v>235.95320667369649</v>
      </c>
      <c r="I69" s="90">
        <f t="shared" si="50"/>
        <v>267.64316968094863</v>
      </c>
      <c r="J69" s="90">
        <f t="shared" si="50"/>
        <v>304.03770296437807</v>
      </c>
      <c r="K69" s="90">
        <f t="shared" si="50"/>
        <v>345.89703221447638</v>
      </c>
      <c r="L69" s="90">
        <f t="shared" si="50"/>
        <v>394.11369760910941</v>
      </c>
      <c r="M69" s="90">
        <f t="shared" si="50"/>
        <v>449.73716414386411</v>
      </c>
      <c r="N69" s="90">
        <f t="shared" si="50"/>
        <v>514.00329413757368</v>
      </c>
      <c r="O69" s="90">
        <f t="shared" si="50"/>
        <v>588.36969727710527</v>
      </c>
      <c r="P69" s="90">
        <f t="shared" si="50"/>
        <v>674.55819678814441</v>
      </c>
      <c r="Q69" s="90">
        <f t="shared" si="50"/>
        <v>774.60592502931422</v>
      </c>
      <c r="R69" s="77">
        <f>RATE(12,,-E69,Q69)</f>
        <v>0.13864714706506379</v>
      </c>
      <c r="S69" s="65" t="s">
        <v>17</v>
      </c>
      <c r="T69" s="12">
        <f>1-T68</f>
        <v>0.52900000000000014</v>
      </c>
      <c r="U69" s="12">
        <f t="shared" ref="U69:AG69" si="51">1-U68</f>
        <v>0.5296153846153846</v>
      </c>
      <c r="V69" s="12">
        <f t="shared" si="51"/>
        <v>0.53023076923076928</v>
      </c>
      <c r="W69" s="12">
        <f t="shared" si="51"/>
        <v>0.53084615384615397</v>
      </c>
      <c r="X69" s="12">
        <f t="shared" si="51"/>
        <v>0.53146153846153843</v>
      </c>
      <c r="Y69" s="12">
        <f t="shared" si="51"/>
        <v>0.53207692307692311</v>
      </c>
      <c r="Z69" s="12">
        <f t="shared" si="51"/>
        <v>0.5326923076923078</v>
      </c>
      <c r="AA69" s="12">
        <f t="shared" si="51"/>
        <v>0.53330769230769237</v>
      </c>
      <c r="AB69" s="12">
        <f t="shared" si="51"/>
        <v>0.53392307692307694</v>
      </c>
      <c r="AC69" s="12">
        <f t="shared" si="51"/>
        <v>0.53453846153846163</v>
      </c>
      <c r="AD69" s="12">
        <f t="shared" si="51"/>
        <v>0.5351538461538462</v>
      </c>
      <c r="AE69" s="12">
        <f t="shared" si="51"/>
        <v>0.53576923076923078</v>
      </c>
      <c r="AF69" s="12">
        <f t="shared" si="51"/>
        <v>0.53638461538461546</v>
      </c>
      <c r="AG69" s="12">
        <f t="shared" si="51"/>
        <v>0.53700000000000003</v>
      </c>
    </row>
    <row r="70" spans="1:33" ht="15.75" thickBot="1" x14ac:dyDescent="0.3">
      <c r="A70" s="1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21"/>
    </row>
    <row r="71" spans="1:33" x14ac:dyDescent="0.25">
      <c r="A71" s="110" t="s">
        <v>18</v>
      </c>
      <c r="B71" s="61" t="s">
        <v>19</v>
      </c>
      <c r="C71" s="56"/>
      <c r="D71" s="91">
        <f>D64*T71</f>
        <v>109.61335</v>
      </c>
      <c r="E71" s="91">
        <f t="shared" ref="E71:Q71" si="52">E64*U71</f>
        <v>123.98780003127723</v>
      </c>
      <c r="F71" s="91">
        <f t="shared" si="52"/>
        <v>140.44563462034776</v>
      </c>
      <c r="G71" s="91">
        <f t="shared" si="52"/>
        <v>159.31555121622333</v>
      </c>
      <c r="H71" s="91">
        <f t="shared" si="52"/>
        <v>180.98210922098599</v>
      </c>
      <c r="I71" s="91">
        <f t="shared" si="52"/>
        <v>205.8958770744683</v>
      </c>
      <c r="J71" s="91">
        <f t="shared" si="52"/>
        <v>234.58553742757607</v>
      </c>
      <c r="K71" s="91">
        <f t="shared" si="52"/>
        <v>267.67234985534566</v>
      </c>
      <c r="L71" s="91">
        <f t="shared" si="52"/>
        <v>305.88745635942365</v>
      </c>
      <c r="M71" s="91">
        <f t="shared" si="52"/>
        <v>350.09262004595644</v>
      </c>
      <c r="N71" s="91">
        <f t="shared" si="52"/>
        <v>401.30511639898583</v>
      </c>
      <c r="O71" s="91">
        <f t="shared" si="52"/>
        <v>460.72765518372933</v>
      </c>
      <c r="P71" s="91">
        <f t="shared" si="52"/>
        <v>529.7844063008331</v>
      </c>
      <c r="Q71" s="91">
        <f t="shared" si="52"/>
        <v>610.16444373817399</v>
      </c>
      <c r="R71" s="78">
        <f>RATE(12,,-E71,Q71)</f>
        <v>0.14201636802356574</v>
      </c>
      <c r="S71" s="61" t="s">
        <v>19</v>
      </c>
      <c r="T71" s="12">
        <v>0.40099999999999997</v>
      </c>
      <c r="U71" s="12">
        <v>0.40265090533119946</v>
      </c>
      <c r="V71" s="12">
        <v>0.40430860739160734</v>
      </c>
      <c r="W71" s="12">
        <v>0.40597313416316017</v>
      </c>
      <c r="X71" s="12">
        <v>0.40764451374299493</v>
      </c>
      <c r="Y71" s="12">
        <v>0.40932277434392395</v>
      </c>
      <c r="Z71" s="12">
        <v>0.41100794429491083</v>
      </c>
      <c r="AA71" s="12">
        <v>0.4127000520415488</v>
      </c>
      <c r="AB71" s="12">
        <v>0.41439912614654062</v>
      </c>
      <c r="AC71" s="12">
        <v>0.41610519529018092</v>
      </c>
      <c r="AD71" s="12">
        <v>0.41781828827084017</v>
      </c>
      <c r="AE71" s="12">
        <v>0.4195384340054511</v>
      </c>
      <c r="AF71" s="12">
        <v>0.4212656615299965</v>
      </c>
      <c r="AG71" s="12">
        <v>0.42299999999999938</v>
      </c>
    </row>
    <row r="72" spans="1:33" ht="15.75" thickBot="1" x14ac:dyDescent="0.3">
      <c r="A72" s="111"/>
      <c r="B72" s="63" t="s">
        <v>20</v>
      </c>
      <c r="C72" s="51"/>
      <c r="D72" s="92">
        <f>D64*T72</f>
        <v>163.73665</v>
      </c>
      <c r="E72" s="92">
        <f t="shared" ref="E72:Q72" si="53">E64*U72</f>
        <v>183.94097496872277</v>
      </c>
      <c r="F72" s="92">
        <f t="shared" si="53"/>
        <v>206.92672414893806</v>
      </c>
      <c r="G72" s="92">
        <f t="shared" si="53"/>
        <v>233.11325209516664</v>
      </c>
      <c r="H72" s="92">
        <f t="shared" si="53"/>
        <v>262.98831873646873</v>
      </c>
      <c r="I72" s="92">
        <f t="shared" si="53"/>
        <v>297.12005553393595</v>
      </c>
      <c r="J72" s="92">
        <f t="shared" si="53"/>
        <v>336.17116127811545</v>
      </c>
      <c r="K72" s="92">
        <f t="shared" si="53"/>
        <v>380.9157676678322</v>
      </c>
      <c r="L72" s="92">
        <f t="shared" si="53"/>
        <v>432.25950645838674</v>
      </c>
      <c r="M72" s="92">
        <f t="shared" si="53"/>
        <v>491.26342166799276</v>
      </c>
      <c r="N72" s="92">
        <f t="shared" si="53"/>
        <v>559.172506684018</v>
      </c>
      <c r="O72" s="92">
        <f t="shared" si="53"/>
        <v>637.44981281373919</v>
      </c>
      <c r="P72" s="92">
        <f t="shared" si="53"/>
        <v>727.81727995269841</v>
      </c>
      <c r="Q72" s="92">
        <f t="shared" si="53"/>
        <v>832.30469039462719</v>
      </c>
      <c r="R72" s="79">
        <f>RATE(12,,-E72,Q72)</f>
        <v>0.1340537912993599</v>
      </c>
      <c r="S72" s="63" t="s">
        <v>20</v>
      </c>
      <c r="T72" s="12">
        <f>1-T71</f>
        <v>0.59899999999999998</v>
      </c>
      <c r="U72" s="12">
        <f t="shared" ref="U72:AG72" si="54">1-U71</f>
        <v>0.59734909466880048</v>
      </c>
      <c r="V72" s="12">
        <f t="shared" si="54"/>
        <v>0.59569139260839266</v>
      </c>
      <c r="W72" s="12">
        <f t="shared" si="54"/>
        <v>0.59402686583683983</v>
      </c>
      <c r="X72" s="12">
        <f t="shared" si="54"/>
        <v>0.59235548625700507</v>
      </c>
      <c r="Y72" s="12">
        <f t="shared" si="54"/>
        <v>0.59067722565607605</v>
      </c>
      <c r="Z72" s="12">
        <f t="shared" si="54"/>
        <v>0.58899205570508917</v>
      </c>
      <c r="AA72" s="12">
        <f t="shared" si="54"/>
        <v>0.5872999479584512</v>
      </c>
      <c r="AB72" s="12">
        <f t="shared" si="54"/>
        <v>0.58560087385345938</v>
      </c>
      <c r="AC72" s="12">
        <f t="shared" si="54"/>
        <v>0.58389480470981914</v>
      </c>
      <c r="AD72" s="12">
        <f t="shared" si="54"/>
        <v>0.58218171172915989</v>
      </c>
      <c r="AE72" s="12">
        <f t="shared" si="54"/>
        <v>0.5804615659945489</v>
      </c>
      <c r="AF72" s="12">
        <f t="shared" si="54"/>
        <v>0.57873433847000344</v>
      </c>
      <c r="AG72" s="12">
        <f t="shared" si="54"/>
        <v>0.57700000000000062</v>
      </c>
    </row>
    <row r="73" spans="1:33" ht="15.75" thickBot="1" x14ac:dyDescent="0.3">
      <c r="A73" s="2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21"/>
    </row>
    <row r="74" spans="1:33" x14ac:dyDescent="0.25">
      <c r="A74" s="110" t="s">
        <v>14</v>
      </c>
      <c r="B74" s="66" t="s">
        <v>21</v>
      </c>
      <c r="C74" s="57"/>
      <c r="D74" s="93">
        <f>D64*T74</f>
        <v>68.337500000000006</v>
      </c>
      <c r="E74" s="93">
        <f t="shared" ref="E74:Q74" si="55">E64*U74</f>
        <v>77.461311029568321</v>
      </c>
      <c r="F74" s="93">
        <f t="shared" si="55"/>
        <v>87.927431451023111</v>
      </c>
      <c r="G74" s="93">
        <f t="shared" si="55"/>
        <v>99.950406607428775</v>
      </c>
      <c r="H74" s="93">
        <f t="shared" si="55"/>
        <v>113.78166716061843</v>
      </c>
      <c r="I74" s="93">
        <f t="shared" si="55"/>
        <v>129.71629947796586</v>
      </c>
      <c r="J74" s="93">
        <f t="shared" si="55"/>
        <v>148.10113505596601</v>
      </c>
      <c r="K74" s="93">
        <f t="shared" si="55"/>
        <v>169.34443045411089</v>
      </c>
      <c r="L74" s="93">
        <f t="shared" si="55"/>
        <v>193.92746800497255</v>
      </c>
      <c r="M74" s="93">
        <f t="shared" si="55"/>
        <v>222.41847971250064</v>
      </c>
      <c r="N74" s="93">
        <f t="shared" si="55"/>
        <v>255.48938542231119</v>
      </c>
      <c r="O74" s="93">
        <f t="shared" si="55"/>
        <v>293.9359455032295</v>
      </c>
      <c r="P74" s="93">
        <f t="shared" si="55"/>
        <v>338.70206286542975</v>
      </c>
      <c r="Q74" s="93">
        <f t="shared" si="55"/>
        <v>390.9091353499893</v>
      </c>
      <c r="R74" s="80">
        <f t="shared" ref="R74:R79" si="56">RATE(12,,-E74,Q74)</f>
        <v>0.14441246993230314</v>
      </c>
      <c r="S74" s="66" t="s">
        <v>21</v>
      </c>
      <c r="T74" s="12">
        <v>0.25</v>
      </c>
      <c r="U74" s="12">
        <v>0.25155593539307364</v>
      </c>
      <c r="V74" s="12">
        <v>0.25312155452593693</v>
      </c>
      <c r="W74" s="12">
        <v>0.25469691766768382</v>
      </c>
      <c r="X74" s="12">
        <v>0.25628208546250747</v>
      </c>
      <c r="Y74" s="12">
        <v>0.2578771189320348</v>
      </c>
      <c r="Z74" s="12">
        <v>0.25948207947767565</v>
      </c>
      <c r="AA74" s="12">
        <v>0.2610970288829863</v>
      </c>
      <c r="AB74" s="12">
        <v>0.26272202931604799</v>
      </c>
      <c r="AC74" s="12">
        <v>0.26435714333185978</v>
      </c>
      <c r="AD74" s="12">
        <v>0.26600243387474731</v>
      </c>
      <c r="AE74" s="12">
        <v>0.26765796428078514</v>
      </c>
      <c r="AF74" s="12">
        <v>0.26932379828023517</v>
      </c>
      <c r="AG74" s="12">
        <v>0.27100000000000013</v>
      </c>
    </row>
    <row r="75" spans="1:33" x14ac:dyDescent="0.25">
      <c r="A75" s="112"/>
      <c r="B75" s="67" t="s">
        <v>22</v>
      </c>
      <c r="C75" s="48"/>
      <c r="D75" s="94">
        <f>D64*T75</f>
        <v>103.873</v>
      </c>
      <c r="E75" s="94">
        <f t="shared" ref="E75:Q75" si="57">E64*U75</f>
        <v>117.29311562231479</v>
      </c>
      <c r="F75" s="94">
        <f t="shared" si="57"/>
        <v>132.63439398642802</v>
      </c>
      <c r="G75" s="94">
        <f t="shared" si="57"/>
        <v>150.19671263893716</v>
      </c>
      <c r="H75" s="94">
        <f t="shared" si="57"/>
        <v>170.33043142319804</v>
      </c>
      <c r="I75" s="94">
        <f t="shared" si="57"/>
        <v>193.44548405135879</v>
      </c>
      <c r="J75" s="94">
        <f t="shared" si="57"/>
        <v>220.0222103683094</v>
      </c>
      <c r="K75" s="94">
        <f t="shared" si="57"/>
        <v>250.62428184406744</v>
      </c>
      <c r="L75" s="94">
        <f t="shared" si="57"/>
        <v>285.91414804325478</v>
      </c>
      <c r="M75" s="94">
        <f t="shared" si="57"/>
        <v>326.67152387715487</v>
      </c>
      <c r="N75" s="94">
        <f t="shared" si="57"/>
        <v>373.81555029398311</v>
      </c>
      <c r="O75" s="94">
        <f t="shared" si="57"/>
        <v>428.4313996213325</v>
      </c>
      <c r="P75" s="94">
        <f t="shared" si="57"/>
        <v>491.80226716877979</v>
      </c>
      <c r="Q75" s="94">
        <f t="shared" si="57"/>
        <v>565.4479005800581</v>
      </c>
      <c r="R75" s="81">
        <f t="shared" si="56"/>
        <v>0.14005728159529743</v>
      </c>
      <c r="S75" s="67" t="s">
        <v>22</v>
      </c>
      <c r="T75" s="12">
        <v>0.38</v>
      </c>
      <c r="U75" s="12">
        <v>0.38090988938047371</v>
      </c>
      <c r="V75" s="12">
        <v>0.38182195744169661</v>
      </c>
      <c r="W75" s="12">
        <v>0.38273620940040159</v>
      </c>
      <c r="X75" s="12">
        <v>0.38365265048581265</v>
      </c>
      <c r="Y75" s="12">
        <v>0.38457128593967477</v>
      </c>
      <c r="Z75" s="12">
        <v>0.38549212101628438</v>
      </c>
      <c r="AA75" s="12">
        <v>0.38641516098251855</v>
      </c>
      <c r="AB75" s="12">
        <v>0.38734041111786593</v>
      </c>
      <c r="AC75" s="12">
        <v>0.38826787671445667</v>
      </c>
      <c r="AD75" s="12">
        <v>0.38919756307709236</v>
      </c>
      <c r="AE75" s="12">
        <v>0.39012947552327681</v>
      </c>
      <c r="AF75" s="12">
        <v>0.3910636193832463</v>
      </c>
      <c r="AG75" s="12">
        <v>0.39200000000000002</v>
      </c>
    </row>
    <row r="76" spans="1:33" x14ac:dyDescent="0.25">
      <c r="A76" s="112"/>
      <c r="B76" s="68" t="s">
        <v>23</v>
      </c>
      <c r="C76" s="48"/>
      <c r="D76" s="95">
        <f>D75*T76</f>
        <v>36.355549999999987</v>
      </c>
      <c r="E76" s="95">
        <f t="shared" ref="E76:Q76" si="58">E75*U76</f>
        <v>40.980558873763925</v>
      </c>
      <c r="F76" s="95">
        <f t="shared" si="58"/>
        <v>46.259274972932531</v>
      </c>
      <c r="G76" s="95">
        <f t="shared" si="58"/>
        <v>52.292619997099521</v>
      </c>
      <c r="H76" s="95">
        <f t="shared" si="58"/>
        <v>59.198340276204441</v>
      </c>
      <c r="I76" s="95">
        <f t="shared" si="58"/>
        <v>67.114010255586663</v>
      </c>
      <c r="J76" s="95">
        <f t="shared" si="58"/>
        <v>76.200606429590167</v>
      </c>
      <c r="K76" s="95">
        <f t="shared" si="58"/>
        <v>86.64676640013657</v>
      </c>
      <c r="L76" s="95">
        <f t="shared" si="58"/>
        <v>98.673872033880258</v>
      </c>
      <c r="M76" s="95">
        <f t="shared" si="58"/>
        <v>112.54212539528686</v>
      </c>
      <c r="N76" s="95">
        <f t="shared" si="58"/>
        <v>128.55782250288431</v>
      </c>
      <c r="O76" s="95">
        <f t="shared" si="58"/>
        <v>147.08207455814775</v>
      </c>
      <c r="P76" s="95">
        <f t="shared" si="58"/>
        <v>168.54128108130274</v>
      </c>
      <c r="Q76" s="95">
        <f t="shared" si="58"/>
        <v>193.43972678843775</v>
      </c>
      <c r="R76" s="81">
        <f t="shared" si="56"/>
        <v>0.13805691712714782</v>
      </c>
      <c r="S76" s="68" t="s">
        <v>23</v>
      </c>
      <c r="T76" s="74">
        <v>0.34999999999999987</v>
      </c>
      <c r="U76" s="74">
        <v>0.34938588387166564</v>
      </c>
      <c r="V76" s="74">
        <v>0.34877284528224306</v>
      </c>
      <c r="W76" s="74">
        <v>0.34816088234106346</v>
      </c>
      <c r="X76" s="74">
        <v>0.34754999316077562</v>
      </c>
      <c r="Y76" s="74">
        <v>0.34694017585733994</v>
      </c>
      <c r="Z76" s="74">
        <v>0.34633142855002247</v>
      </c>
      <c r="AA76" s="74">
        <v>0.34572374936138933</v>
      </c>
      <c r="AB76" s="74">
        <v>0.34511713641730069</v>
      </c>
      <c r="AC76" s="74">
        <v>0.34451158784690528</v>
      </c>
      <c r="AD76" s="74">
        <v>0.34390710178263434</v>
      </c>
      <c r="AE76" s="74">
        <v>0.34330367636019604</v>
      </c>
      <c r="AF76" s="74">
        <v>0.34270130971856966</v>
      </c>
      <c r="AG76" s="74">
        <v>0.34209999999999979</v>
      </c>
    </row>
    <row r="77" spans="1:33" x14ac:dyDescent="0.25">
      <c r="A77" s="112"/>
      <c r="B77" s="68" t="s">
        <v>24</v>
      </c>
      <c r="C77" s="48"/>
      <c r="D77" s="95">
        <f>D75*T77</f>
        <v>29.084440000000004</v>
      </c>
      <c r="E77" s="95">
        <f t="shared" ref="E77:Q77" si="59">E75*U77</f>
        <v>32.956924421311427</v>
      </c>
      <c r="F77" s="95">
        <f t="shared" si="59"/>
        <v>37.397832593711961</v>
      </c>
      <c r="G77" s="95">
        <f t="shared" si="59"/>
        <v>42.497836895931862</v>
      </c>
      <c r="H77" s="95">
        <f t="shared" si="59"/>
        <v>48.363170826181133</v>
      </c>
      <c r="I77" s="95">
        <f t="shared" si="59"/>
        <v>55.118480711830124</v>
      </c>
      <c r="J77" s="95">
        <f t="shared" si="59"/>
        <v>62.910232187422189</v>
      </c>
      <c r="K77" s="95">
        <f t="shared" si="59"/>
        <v>71.910785464145221</v>
      </c>
      <c r="L77" s="95">
        <f t="shared" si="59"/>
        <v>82.323278076425225</v>
      </c>
      <c r="M77" s="95">
        <f t="shared" si="59"/>
        <v>94.387484048865048</v>
      </c>
      <c r="N77" s="95">
        <f t="shared" si="59"/>
        <v>108.38685560688131</v>
      </c>
      <c r="O77" s="95">
        <f t="shared" si="59"/>
        <v>124.65699931326121</v>
      </c>
      <c r="P77" s="95">
        <f t="shared" si="59"/>
        <v>143.59589491995928</v>
      </c>
      <c r="Q77" s="95">
        <f t="shared" si="59"/>
        <v>165.67623486995683</v>
      </c>
      <c r="R77" s="81">
        <f t="shared" si="56"/>
        <v>0.14404417715621834</v>
      </c>
      <c r="S77" s="68" t="s">
        <v>24</v>
      </c>
      <c r="T77" s="74">
        <v>0.28000000000000003</v>
      </c>
      <c r="U77" s="74">
        <v>0.28097918830490543</v>
      </c>
      <c r="V77" s="74">
        <v>0.28196180093029821</v>
      </c>
      <c r="W77" s="74">
        <v>0.28294784985137333</v>
      </c>
      <c r="X77" s="74">
        <v>0.28393734708520407</v>
      </c>
      <c r="Y77" s="74">
        <v>0.28493030469088876</v>
      </c>
      <c r="Z77" s="74">
        <v>0.28592673476969749</v>
      </c>
      <c r="AA77" s="74">
        <v>0.28692664946521995</v>
      </c>
      <c r="AB77" s="74">
        <v>0.28793006096351298</v>
      </c>
      <c r="AC77" s="74">
        <v>0.28893698149324931</v>
      </c>
      <c r="AD77" s="74">
        <v>0.28994742332586665</v>
      </c>
      <c r="AE77" s="74">
        <v>0.29096139877571725</v>
      </c>
      <c r="AF77" s="74">
        <v>0.29197892020021765</v>
      </c>
      <c r="AG77" s="74">
        <v>0.29299999999999965</v>
      </c>
    </row>
    <row r="78" spans="1:33" x14ac:dyDescent="0.25">
      <c r="A78" s="112"/>
      <c r="B78" s="68" t="s">
        <v>25</v>
      </c>
      <c r="C78" s="48"/>
      <c r="D78" s="95">
        <f>D75*T78</f>
        <v>38.43301000000001</v>
      </c>
      <c r="E78" s="95">
        <f t="shared" ref="E78:Q78" si="60">E75*U78</f>
        <v>43.355632327239441</v>
      </c>
      <c r="F78" s="95">
        <f t="shared" si="60"/>
        <v>48.977286419783532</v>
      </c>
      <c r="G78" s="95">
        <f t="shared" si="60"/>
        <v>55.406255745905781</v>
      </c>
      <c r="H78" s="95">
        <f t="shared" si="60"/>
        <v>62.768920320812455</v>
      </c>
      <c r="I78" s="95">
        <f t="shared" si="60"/>
        <v>71.212993083941996</v>
      </c>
      <c r="J78" s="95">
        <f t="shared" si="60"/>
        <v>80.911371751297054</v>
      </c>
      <c r="K78" s="95">
        <f t="shared" si="60"/>
        <v>92.066729979785663</v>
      </c>
      <c r="L78" s="95">
        <f t="shared" si="60"/>
        <v>104.91699793294931</v>
      </c>
      <c r="M78" s="95">
        <f t="shared" si="60"/>
        <v>119.74191443300296</v>
      </c>
      <c r="N78" s="95">
        <f t="shared" si="60"/>
        <v>136.87087218421746</v>
      </c>
      <c r="O78" s="95">
        <f t="shared" si="60"/>
        <v>156.69232574992353</v>
      </c>
      <c r="P78" s="95">
        <f t="shared" si="60"/>
        <v>179.6650911675178</v>
      </c>
      <c r="Q78" s="95">
        <f t="shared" si="60"/>
        <v>206.33193892166352</v>
      </c>
      <c r="R78" s="81">
        <f t="shared" si="56"/>
        <v>0.13883309090382318</v>
      </c>
      <c r="S78" s="68" t="s">
        <v>25</v>
      </c>
      <c r="T78" s="74">
        <f>1-SUM(T76:T77)</f>
        <v>0.37000000000000011</v>
      </c>
      <c r="U78" s="74">
        <f t="shared" ref="U78:AG78" si="61">1-SUM(U76:U77)</f>
        <v>0.36963492782342899</v>
      </c>
      <c r="V78" s="74">
        <f t="shared" si="61"/>
        <v>0.36926535378745873</v>
      </c>
      <c r="W78" s="74">
        <f t="shared" si="61"/>
        <v>0.36889126780756321</v>
      </c>
      <c r="X78" s="74">
        <f t="shared" si="61"/>
        <v>0.36851265975402026</v>
      </c>
      <c r="Y78" s="74">
        <f t="shared" si="61"/>
        <v>0.3681295194517713</v>
      </c>
      <c r="Z78" s="74">
        <f t="shared" si="61"/>
        <v>0.36774183668028004</v>
      </c>
      <c r="AA78" s="74">
        <f t="shared" si="61"/>
        <v>0.36734960117339077</v>
      </c>
      <c r="AB78" s="74">
        <f t="shared" si="61"/>
        <v>0.36695280261918639</v>
      </c>
      <c r="AC78" s="74">
        <f t="shared" si="61"/>
        <v>0.36655143065984541</v>
      </c>
      <c r="AD78" s="74">
        <f t="shared" si="61"/>
        <v>0.36614547489149896</v>
      </c>
      <c r="AE78" s="74">
        <f t="shared" si="61"/>
        <v>0.36573492486408665</v>
      </c>
      <c r="AF78" s="74">
        <f t="shared" si="61"/>
        <v>0.36531977008121275</v>
      </c>
      <c r="AG78" s="74">
        <f t="shared" si="61"/>
        <v>0.36490000000000056</v>
      </c>
    </row>
    <row r="79" spans="1:33" ht="15.75" thickBot="1" x14ac:dyDescent="0.3">
      <c r="A79" s="111"/>
      <c r="B79" s="69" t="s">
        <v>26</v>
      </c>
      <c r="C79" s="58"/>
      <c r="D79" s="96">
        <f>D64*T79</f>
        <v>101.13950000000001</v>
      </c>
      <c r="E79" s="96">
        <f t="shared" ref="E79:Q79" si="62">E64*U79</f>
        <v>113.17434834811694</v>
      </c>
      <c r="F79" s="96">
        <f t="shared" si="62"/>
        <v>126.81053333183469</v>
      </c>
      <c r="G79" s="96">
        <f t="shared" si="62"/>
        <v>142.28168406502402</v>
      </c>
      <c r="H79" s="96">
        <f t="shared" si="62"/>
        <v>159.85832937363827</v>
      </c>
      <c r="I79" s="96">
        <f t="shared" si="62"/>
        <v>179.85414907907955</v>
      </c>
      <c r="J79" s="96">
        <f t="shared" si="62"/>
        <v>202.63335328141611</v>
      </c>
      <c r="K79" s="96">
        <f t="shared" si="62"/>
        <v>228.61940522499955</v>
      </c>
      <c r="L79" s="96">
        <f t="shared" si="62"/>
        <v>258.30534676958302</v>
      </c>
      <c r="M79" s="96">
        <f t="shared" si="62"/>
        <v>292.26603812429369</v>
      </c>
      <c r="N79" s="96">
        <f t="shared" si="62"/>
        <v>331.17268736670957</v>
      </c>
      <c r="O79" s="96">
        <f t="shared" si="62"/>
        <v>375.8101228729065</v>
      </c>
      <c r="P79" s="96">
        <f t="shared" si="62"/>
        <v>427.09735621932214</v>
      </c>
      <c r="Q79" s="96">
        <f t="shared" si="62"/>
        <v>486.11209820275377</v>
      </c>
      <c r="R79" s="82">
        <f t="shared" si="56"/>
        <v>0.12914323163365238</v>
      </c>
      <c r="S79" s="69" t="s">
        <v>26</v>
      </c>
      <c r="T79" s="12">
        <f>1-SUM(T74+T75)</f>
        <v>0.37</v>
      </c>
      <c r="U79" s="12">
        <f t="shared" ref="U79:AG79" si="63">1-SUM(U74+U75)</f>
        <v>0.36753417522645271</v>
      </c>
      <c r="V79" s="12">
        <f t="shared" si="63"/>
        <v>0.36505648803236646</v>
      </c>
      <c r="W79" s="12">
        <f t="shared" si="63"/>
        <v>0.36256687293191459</v>
      </c>
      <c r="X79" s="12">
        <f t="shared" si="63"/>
        <v>0.36006526405167993</v>
      </c>
      <c r="Y79" s="12">
        <f t="shared" si="63"/>
        <v>0.35755159512829038</v>
      </c>
      <c r="Z79" s="12">
        <f t="shared" si="63"/>
        <v>0.35502579950603996</v>
      </c>
      <c r="AA79" s="12">
        <f t="shared" si="63"/>
        <v>0.35248781013449515</v>
      </c>
      <c r="AB79" s="12">
        <f t="shared" si="63"/>
        <v>0.34993755956608608</v>
      </c>
      <c r="AC79" s="12">
        <f t="shared" si="63"/>
        <v>0.3473749799536836</v>
      </c>
      <c r="AD79" s="12">
        <f t="shared" si="63"/>
        <v>0.34480000304816039</v>
      </c>
      <c r="AE79" s="12">
        <f t="shared" si="63"/>
        <v>0.34221256019593804</v>
      </c>
      <c r="AF79" s="12">
        <f t="shared" si="63"/>
        <v>0.33961258233651859</v>
      </c>
      <c r="AG79" s="12">
        <f t="shared" si="63"/>
        <v>0.33699999999999986</v>
      </c>
    </row>
    <row r="80" spans="1:33" ht="15.75" thickBot="1" x14ac:dyDescent="0.3">
      <c r="A80" s="2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21"/>
    </row>
    <row r="81" spans="1:33" x14ac:dyDescent="0.25">
      <c r="A81" s="113" t="s">
        <v>27</v>
      </c>
      <c r="B81" s="61" t="s">
        <v>28</v>
      </c>
      <c r="C81" s="56"/>
      <c r="D81" s="91">
        <f>D64*T81</f>
        <v>109.61335</v>
      </c>
      <c r="E81" s="91">
        <f t="shared" ref="E81:Q81" si="64">E64*U81</f>
        <v>123.98780003127723</v>
      </c>
      <c r="F81" s="91">
        <f t="shared" si="64"/>
        <v>140.44563462034776</v>
      </c>
      <c r="G81" s="91">
        <f t="shared" si="64"/>
        <v>159.31555121622333</v>
      </c>
      <c r="H81" s="91">
        <f t="shared" si="64"/>
        <v>180.98210922098599</v>
      </c>
      <c r="I81" s="91">
        <f t="shared" si="64"/>
        <v>205.8958770744683</v>
      </c>
      <c r="J81" s="91">
        <f t="shared" si="64"/>
        <v>234.58553742757607</v>
      </c>
      <c r="K81" s="91">
        <f t="shared" si="64"/>
        <v>267.67234985534566</v>
      </c>
      <c r="L81" s="91">
        <f t="shared" si="64"/>
        <v>305.88745635942365</v>
      </c>
      <c r="M81" s="91">
        <f t="shared" si="64"/>
        <v>350.09262004595644</v>
      </c>
      <c r="N81" s="91">
        <f t="shared" si="64"/>
        <v>401.30511639898583</v>
      </c>
      <c r="O81" s="91">
        <f t="shared" si="64"/>
        <v>460.72765518372933</v>
      </c>
      <c r="P81" s="91">
        <f t="shared" si="64"/>
        <v>529.7844063008331</v>
      </c>
      <c r="Q81" s="91">
        <f t="shared" si="64"/>
        <v>610.16444373817399</v>
      </c>
      <c r="R81" s="78">
        <f>RATE(12,,-E81,Q81)</f>
        <v>0.14201636802356574</v>
      </c>
      <c r="S81" s="61" t="s">
        <v>28</v>
      </c>
      <c r="T81" s="12">
        <v>0.40099999999999997</v>
      </c>
      <c r="U81" s="12">
        <v>0.40265090533119946</v>
      </c>
      <c r="V81" s="12">
        <v>0.40430860739160734</v>
      </c>
      <c r="W81" s="12">
        <v>0.40597313416316017</v>
      </c>
      <c r="X81" s="12">
        <v>0.40764451374299493</v>
      </c>
      <c r="Y81" s="12">
        <v>0.40932277434392395</v>
      </c>
      <c r="Z81" s="12">
        <v>0.41100794429491083</v>
      </c>
      <c r="AA81" s="12">
        <v>0.4127000520415488</v>
      </c>
      <c r="AB81" s="12">
        <v>0.41439912614654062</v>
      </c>
      <c r="AC81" s="12">
        <v>0.41610519529018092</v>
      </c>
      <c r="AD81" s="12">
        <v>0.41781828827084017</v>
      </c>
      <c r="AE81" s="12">
        <v>0.4195384340054511</v>
      </c>
      <c r="AF81" s="12">
        <v>0.4212656615299965</v>
      </c>
      <c r="AG81" s="12">
        <v>0.42299999999999938</v>
      </c>
    </row>
    <row r="82" spans="1:33" x14ac:dyDescent="0.25">
      <c r="A82" s="114"/>
      <c r="B82" s="62" t="s">
        <v>29</v>
      </c>
      <c r="C82" s="47"/>
      <c r="D82" s="97">
        <f>D64*T82</f>
        <v>117.81385</v>
      </c>
      <c r="E82" s="97">
        <f t="shared" ref="E82:Q82" si="65">E64*U82</f>
        <v>132.97483725292943</v>
      </c>
      <c r="F82" s="97">
        <f t="shared" si="65"/>
        <v>150.29909786644208</v>
      </c>
      <c r="G82" s="97">
        <f t="shared" si="65"/>
        <v>170.12334575156692</v>
      </c>
      <c r="H82" s="97">
        <f t="shared" si="65"/>
        <v>192.84083608456848</v>
      </c>
      <c r="I82" s="97">
        <f t="shared" si="65"/>
        <v>218.91152500963301</v>
      </c>
      <c r="J82" s="97">
        <f t="shared" si="65"/>
        <v>248.87417051250765</v>
      </c>
      <c r="K82" s="97">
        <f t="shared" si="65"/>
        <v>283.36076685206268</v>
      </c>
      <c r="L82" s="97">
        <f t="shared" si="65"/>
        <v>323.11378850172002</v>
      </c>
      <c r="M82" s="97">
        <f t="shared" si="65"/>
        <v>369.00682180185521</v>
      </c>
      <c r="N82" s="97">
        <f t="shared" si="65"/>
        <v>422.06928783054491</v>
      </c>
      <c r="O82" s="97">
        <f t="shared" si="65"/>
        <v>483.51611380483422</v>
      </c>
      <c r="P82" s="97">
        <f t="shared" si="65"/>
        <v>554.78339941001309</v>
      </c>
      <c r="Q82" s="97">
        <f t="shared" si="65"/>
        <v>637.57135728669857</v>
      </c>
      <c r="R82" s="83">
        <f>RATE(12,,-E82,Q82)</f>
        <v>0.13954097056534343</v>
      </c>
      <c r="S82" s="62" t="s">
        <v>29</v>
      </c>
      <c r="T82" s="12">
        <v>0.43099999999999999</v>
      </c>
      <c r="U82" s="12">
        <v>0.43183634674261745</v>
      </c>
      <c r="V82" s="12">
        <v>0.43267431639909548</v>
      </c>
      <c r="W82" s="12">
        <v>0.43351391211866536</v>
      </c>
      <c r="X82" s="12">
        <v>0.43435513705666956</v>
      </c>
      <c r="Y82" s="12">
        <v>0.43519799437457324</v>
      </c>
      <c r="Z82" s="12">
        <v>0.43604248723997657</v>
      </c>
      <c r="AA82" s="12">
        <v>0.43688861882662616</v>
      </c>
      <c r="AB82" s="12">
        <v>0.43773639231442729</v>
      </c>
      <c r="AC82" s="12">
        <v>0.43858581088945586</v>
      </c>
      <c r="AD82" s="12">
        <v>0.43943687774397006</v>
      </c>
      <c r="AE82" s="12">
        <v>0.44028959607642287</v>
      </c>
      <c r="AF82" s="12">
        <v>0.44114396909147369</v>
      </c>
      <c r="AG82" s="12">
        <v>0.44200000000000028</v>
      </c>
    </row>
    <row r="83" spans="1:33" ht="15.75" thickBot="1" x14ac:dyDescent="0.3">
      <c r="A83" s="115"/>
      <c r="B83" s="63" t="s">
        <v>30</v>
      </c>
      <c r="C83" s="51"/>
      <c r="D83" s="92">
        <f>D64*T83</f>
        <v>45.922800000000016</v>
      </c>
      <c r="E83" s="92">
        <f t="shared" ref="E83:Q83" si="66">E64*U83</f>
        <v>50.966137715793352</v>
      </c>
      <c r="F83" s="92">
        <f t="shared" si="66"/>
        <v>56.627626282495989</v>
      </c>
      <c r="G83" s="92">
        <f t="shared" si="66"/>
        <v>62.989906343599714</v>
      </c>
      <c r="H83" s="92">
        <f t="shared" si="66"/>
        <v>70.147482651900219</v>
      </c>
      <c r="I83" s="92">
        <f t="shared" si="66"/>
        <v>78.208530524302887</v>
      </c>
      <c r="J83" s="92">
        <f t="shared" si="66"/>
        <v>87.296990765607774</v>
      </c>
      <c r="K83" s="92">
        <f t="shared" si="66"/>
        <v>97.555000815769489</v>
      </c>
      <c r="L83" s="92">
        <f t="shared" si="66"/>
        <v>109.14571795666673</v>
      </c>
      <c r="M83" s="92">
        <f t="shared" si="66"/>
        <v>122.25659986613749</v>
      </c>
      <c r="N83" s="92">
        <f t="shared" si="66"/>
        <v>137.10321885347307</v>
      </c>
      <c r="O83" s="92">
        <f t="shared" si="66"/>
        <v>153.93369900890502</v>
      </c>
      <c r="P83" s="92">
        <f t="shared" si="66"/>
        <v>173.03388054268544</v>
      </c>
      <c r="Q83" s="92">
        <f t="shared" si="66"/>
        <v>194.73333310792864</v>
      </c>
      <c r="R83" s="79">
        <f>RATE(12,,-E83,Q83)</f>
        <v>0.1181838476206535</v>
      </c>
      <c r="S83" s="63" t="s">
        <v>30</v>
      </c>
      <c r="T83" s="12">
        <f>1-SUM(T81:T82)</f>
        <v>0.16800000000000004</v>
      </c>
      <c r="U83" s="12">
        <f t="shared" ref="U83:AG83" si="67">1-SUM(U81:U82)</f>
        <v>0.16551274792618309</v>
      </c>
      <c r="V83" s="12">
        <f t="shared" si="67"/>
        <v>0.16301707620929717</v>
      </c>
      <c r="W83" s="12">
        <f t="shared" si="67"/>
        <v>0.16051295371817442</v>
      </c>
      <c r="X83" s="12">
        <f t="shared" si="67"/>
        <v>0.15800034920033545</v>
      </c>
      <c r="Y83" s="12">
        <f t="shared" si="67"/>
        <v>0.15547923128150276</v>
      </c>
      <c r="Z83" s="12">
        <f t="shared" si="67"/>
        <v>0.15294956846511254</v>
      </c>
      <c r="AA83" s="12">
        <f t="shared" si="67"/>
        <v>0.15041132913182498</v>
      </c>
      <c r="AB83" s="12">
        <f t="shared" si="67"/>
        <v>0.14786448153903209</v>
      </c>
      <c r="AC83" s="12">
        <f t="shared" si="67"/>
        <v>0.14530899382036322</v>
      </c>
      <c r="AD83" s="12">
        <f t="shared" si="67"/>
        <v>0.14274483398518978</v>
      </c>
      <c r="AE83" s="12">
        <f t="shared" si="67"/>
        <v>0.14017196991812608</v>
      </c>
      <c r="AF83" s="12">
        <f t="shared" si="67"/>
        <v>0.13759036937852986</v>
      </c>
      <c r="AG83" s="12">
        <f t="shared" si="67"/>
        <v>0.13500000000000034</v>
      </c>
    </row>
    <row r="87" spans="1:33" ht="26.25" x14ac:dyDescent="0.4">
      <c r="A87" s="109" t="s">
        <v>58</v>
      </c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70"/>
    </row>
    <row r="88" spans="1:33" ht="24" thickBot="1" x14ac:dyDescent="0.4">
      <c r="A88" s="70"/>
      <c r="B88" s="70"/>
      <c r="C88" s="70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</row>
    <row r="89" spans="1:33" ht="15.75" x14ac:dyDescent="0.25">
      <c r="A89" s="49"/>
      <c r="B89" s="50"/>
      <c r="C89" s="100"/>
      <c r="D89" s="98">
        <v>2023</v>
      </c>
      <c r="E89" s="72">
        <v>2024</v>
      </c>
      <c r="F89" s="72">
        <v>2025</v>
      </c>
      <c r="G89" s="72">
        <v>2026</v>
      </c>
      <c r="H89" s="72">
        <v>2027</v>
      </c>
      <c r="I89" s="72">
        <v>2028</v>
      </c>
      <c r="J89" s="72">
        <v>2029</v>
      </c>
      <c r="K89" s="72">
        <v>2030</v>
      </c>
      <c r="L89" s="72">
        <v>2031</v>
      </c>
      <c r="M89" s="72">
        <v>2032</v>
      </c>
      <c r="N89" s="72">
        <v>2033</v>
      </c>
      <c r="O89" s="72">
        <v>2034</v>
      </c>
      <c r="P89" s="72">
        <v>2035</v>
      </c>
      <c r="Q89" s="72">
        <v>2036</v>
      </c>
      <c r="R89" s="73" t="s">
        <v>13</v>
      </c>
    </row>
    <row r="90" spans="1:33" ht="16.5" thickBot="1" x14ac:dyDescent="0.3">
      <c r="A90" s="26"/>
      <c r="B90" s="101"/>
      <c r="C90" s="102"/>
      <c r="D90" s="99">
        <f>'Market Analysis'!C22</f>
        <v>218.68</v>
      </c>
      <c r="E90" s="99">
        <f>'Market Analysis'!D22</f>
        <v>240.11064000000002</v>
      </c>
      <c r="F90" s="99">
        <f>'Market Analysis'!E22</f>
        <v>263.72006023026967</v>
      </c>
      <c r="G90" s="99">
        <f>'Market Analysis'!F22</f>
        <v>289.7375219731191</v>
      </c>
      <c r="H90" s="99">
        <f>'Market Analysis'!G22</f>
        <v>318.4172046048418</v>
      </c>
      <c r="I90" s="99">
        <f>'Market Analysis'!H22</f>
        <v>350.04099817369865</v>
      </c>
      <c r="J90" s="99">
        <f>'Market Analysis'!I22</f>
        <v>384.92161818280846</v>
      </c>
      <c r="K90" s="99">
        <f>'Market Analysis'!J22</f>
        <v>423.4060807987284</v>
      </c>
      <c r="L90" s="99">
        <f>'Market Analysis'!K22</f>
        <v>465.8795813620917</v>
      </c>
      <c r="M90" s="99">
        <f>'Market Analysis'!L22</f>
        <v>512.76982431391468</v>
      </c>
      <c r="N90" s="99">
        <f>'Market Analysis'!M22</f>
        <v>564.5518585445667</v>
      </c>
      <c r="O90" s="99">
        <f>'Market Analysis'!N22</f>
        <v>621.75347880613231</v>
      </c>
      <c r="P90" s="99">
        <f>'Market Analysis'!O22</f>
        <v>684.9612612982886</v>
      </c>
      <c r="Q90" s="99">
        <f>'Market Analysis'!P22</f>
        <v>754.82730995071415</v>
      </c>
      <c r="R90" s="75">
        <f>RATE(12,,-E90,Q90)</f>
        <v>0.10015282076089779</v>
      </c>
      <c r="T90" s="72">
        <v>2023</v>
      </c>
      <c r="U90" s="72">
        <v>2024</v>
      </c>
      <c r="V90" s="72">
        <v>2025</v>
      </c>
      <c r="W90" s="72">
        <v>2026</v>
      </c>
      <c r="X90" s="72">
        <v>2027</v>
      </c>
      <c r="Y90" s="72">
        <v>2028</v>
      </c>
      <c r="Z90" s="72">
        <v>2029</v>
      </c>
      <c r="AA90" s="72">
        <v>2030</v>
      </c>
      <c r="AB90" s="72">
        <v>2031</v>
      </c>
      <c r="AC90" s="72">
        <v>2032</v>
      </c>
      <c r="AD90" s="72">
        <v>2033</v>
      </c>
      <c r="AE90" s="72">
        <v>2034</v>
      </c>
      <c r="AF90" s="72">
        <v>2035</v>
      </c>
      <c r="AG90" s="72">
        <v>2036</v>
      </c>
    </row>
    <row r="91" spans="1:33" x14ac:dyDescent="0.25">
      <c r="A91" s="110" t="s">
        <v>51</v>
      </c>
      <c r="B91" s="59" t="s">
        <v>34</v>
      </c>
      <c r="C91" s="52"/>
      <c r="D91" s="86">
        <f>D90*T91</f>
        <v>122.46080000000002</v>
      </c>
      <c r="E91" s="86">
        <f t="shared" ref="E91" si="68">E90*U91</f>
        <v>134.68324764982671</v>
      </c>
      <c r="F91" s="86">
        <f t="shared" ref="F91" si="69">F90*V91</f>
        <v>148.16972975131233</v>
      </c>
      <c r="G91" s="86">
        <f t="shared" ref="G91" si="70">G90*W91</f>
        <v>163.05540958256549</v>
      </c>
      <c r="H91" s="86">
        <f t="shared" ref="H91" si="71">H90*X91</f>
        <v>179.4903660900539</v>
      </c>
      <c r="I91" s="86">
        <f t="shared" ref="I91" si="72">I90*Y91</f>
        <v>197.64128977461354</v>
      </c>
      <c r="J91" s="86">
        <f t="shared" ref="J91" si="73">J90*Z91</f>
        <v>217.69337695309011</v>
      </c>
      <c r="K91" s="86">
        <f t="shared" ref="K91" si="74">K90*AA91</f>
        <v>239.85244623819997</v>
      </c>
      <c r="L91" s="86">
        <f t="shared" ref="L91" si="75">L90*AB91</f>
        <v>264.34730402013287</v>
      </c>
      <c r="M91" s="86">
        <f t="shared" ref="M91" si="76">M90*AC91</f>
        <v>291.43238904624047</v>
      </c>
      <c r="N91" s="86">
        <f t="shared" ref="N91" si="77">N90*AD91</f>
        <v>321.39072992805296</v>
      </c>
      <c r="O91" s="86">
        <f t="shared" ref="O91" si="78">O90*AE91</f>
        <v>354.53725361236769</v>
      </c>
      <c r="P91" s="86">
        <f t="shared" ref="P91" si="79">P90*AF91</f>
        <v>391.22248759708083</v>
      </c>
      <c r="Q91" s="86">
        <f t="shared" ref="Q91" si="80">Q90*AG91</f>
        <v>431.83670402280285</v>
      </c>
      <c r="R91" s="84">
        <f>RATE(12,,-E91,Q91)</f>
        <v>0.10196338484386147</v>
      </c>
      <c r="S91" s="59" t="s">
        <v>34</v>
      </c>
      <c r="T91" s="12">
        <v>0.56000000000000005</v>
      </c>
      <c r="U91" s="12">
        <v>0.56092161367703952</v>
      </c>
      <c r="V91" s="12">
        <v>0.56184474408938223</v>
      </c>
      <c r="W91" s="12">
        <v>0.56276939373317769</v>
      </c>
      <c r="X91" s="12">
        <v>0.56369556510868446</v>
      </c>
      <c r="Y91" s="12">
        <v>0.56462326072027491</v>
      </c>
      <c r="Z91" s="12">
        <v>0.56555248307644368</v>
      </c>
      <c r="AA91" s="12">
        <v>0.56648323468981299</v>
      </c>
      <c r="AB91" s="12">
        <v>0.56741551807714108</v>
      </c>
      <c r="AC91" s="12">
        <v>0.56834933575932756</v>
      </c>
      <c r="AD91" s="12">
        <v>0.56928469026142059</v>
      </c>
      <c r="AE91" s="12">
        <v>0.57022158411262425</v>
      </c>
      <c r="AF91" s="12">
        <v>0.57116001984630527</v>
      </c>
      <c r="AG91" s="12">
        <v>0.57209999999999905</v>
      </c>
    </row>
    <row r="92" spans="1:33" ht="15.75" thickBot="1" x14ac:dyDescent="0.3">
      <c r="A92" s="111"/>
      <c r="B92" s="60" t="s">
        <v>35</v>
      </c>
      <c r="C92" s="53"/>
      <c r="D92" s="87">
        <f>D90*T92</f>
        <v>96.219199999999987</v>
      </c>
      <c r="E92" s="87">
        <f t="shared" ref="E92" si="81">E90*U92</f>
        <v>105.42739235017329</v>
      </c>
      <c r="F92" s="87">
        <f t="shared" ref="F92" si="82">F90*V92</f>
        <v>115.55033047895733</v>
      </c>
      <c r="G92" s="87">
        <f t="shared" ref="G92" si="83">G90*W92</f>
        <v>126.68211239055361</v>
      </c>
      <c r="H92" s="87">
        <f t="shared" ref="H92" si="84">H90*X92</f>
        <v>138.9268385147879</v>
      </c>
      <c r="I92" s="87">
        <f t="shared" ref="I92" si="85">I90*Y92</f>
        <v>152.39970839908511</v>
      </c>
      <c r="J92" s="87">
        <f t="shared" ref="J92" si="86">J90*Z92</f>
        <v>167.22824122971835</v>
      </c>
      <c r="K92" s="87">
        <f t="shared" ref="K92" si="87">K90*AA92</f>
        <v>183.55363456052842</v>
      </c>
      <c r="L92" s="87">
        <f t="shared" ref="L92" si="88">L90*AB92</f>
        <v>201.53227734195883</v>
      </c>
      <c r="M92" s="87">
        <f t="shared" ref="M92" si="89">M90*AC92</f>
        <v>221.33743526767418</v>
      </c>
      <c r="N92" s="87">
        <f t="shared" ref="N92" si="90">N90*AD92</f>
        <v>243.16112861651371</v>
      </c>
      <c r="O92" s="87">
        <f t="shared" ref="O92" si="91">O90*AE92</f>
        <v>267.21622519376461</v>
      </c>
      <c r="P92" s="87">
        <f t="shared" ref="P92" si="92">P90*AF92</f>
        <v>293.73877370120778</v>
      </c>
      <c r="Q92" s="87">
        <f t="shared" ref="Q92" si="93">Q90*AG92</f>
        <v>322.9906059279113</v>
      </c>
      <c r="R92" s="85">
        <f>RATE(12,,-E92,Q92)</f>
        <v>9.7791091532701366E-2</v>
      </c>
      <c r="S92" s="60" t="s">
        <v>35</v>
      </c>
      <c r="T92" s="12">
        <f>1-T91</f>
        <v>0.43999999999999995</v>
      </c>
      <c r="U92" s="12">
        <f t="shared" ref="U92" si="94">1-U91</f>
        <v>0.43907838632296048</v>
      </c>
      <c r="V92" s="12">
        <f t="shared" ref="V92" si="95">1-V91</f>
        <v>0.43815525591061777</v>
      </c>
      <c r="W92" s="12">
        <f t="shared" ref="W92" si="96">1-W91</f>
        <v>0.43723060626682231</v>
      </c>
      <c r="X92" s="12">
        <f t="shared" ref="X92" si="97">1-X91</f>
        <v>0.43630443489131554</v>
      </c>
      <c r="Y92" s="12">
        <f t="shared" ref="Y92" si="98">1-Y91</f>
        <v>0.43537673927972509</v>
      </c>
      <c r="Z92" s="12">
        <f t="shared" ref="Z92" si="99">1-Z91</f>
        <v>0.43444751692355632</v>
      </c>
      <c r="AA92" s="12">
        <f t="shared" ref="AA92" si="100">1-AA91</f>
        <v>0.43351676531018701</v>
      </c>
      <c r="AB92" s="12">
        <f t="shared" ref="AB92" si="101">1-AB91</f>
        <v>0.43258448192285892</v>
      </c>
      <c r="AC92" s="12">
        <f t="shared" ref="AC92" si="102">1-AC91</f>
        <v>0.43165066424067244</v>
      </c>
      <c r="AD92" s="12">
        <f t="shared" ref="AD92" si="103">1-AD91</f>
        <v>0.43071530973857941</v>
      </c>
      <c r="AE92" s="12">
        <f t="shared" ref="AE92" si="104">1-AE91</f>
        <v>0.42977841588737575</v>
      </c>
      <c r="AF92" s="12">
        <f t="shared" ref="AF92" si="105">1-AF91</f>
        <v>0.42883998015369473</v>
      </c>
      <c r="AG92" s="12">
        <f t="shared" ref="AG92" si="106">1-AG91</f>
        <v>0.42790000000000095</v>
      </c>
    </row>
    <row r="93" spans="1:33" ht="15.75" thickBot="1" x14ac:dyDescent="0.3">
      <c r="A93" s="1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21"/>
    </row>
    <row r="94" spans="1:33" x14ac:dyDescent="0.25">
      <c r="A94" s="110" t="s">
        <v>15</v>
      </c>
      <c r="B94" s="64" t="s">
        <v>16</v>
      </c>
      <c r="C94" s="54"/>
      <c r="D94" s="89">
        <f>D90*T94</f>
        <v>102.99827999999998</v>
      </c>
      <c r="E94" s="89">
        <f t="shared" ref="E94" si="107">E90*U94</f>
        <v>112.94435104615384</v>
      </c>
      <c r="F94" s="89">
        <f t="shared" ref="F94" si="108">F90*V94</f>
        <v>123.88756983278897</v>
      </c>
      <c r="G94" s="89">
        <f t="shared" ref="G94" si="109">G90*W94</f>
        <v>135.93147280877332</v>
      </c>
      <c r="H94" s="89">
        <f t="shared" ref="H94" si="110">H90*X94</f>
        <v>149.1907071729301</v>
      </c>
      <c r="I94" s="89">
        <f t="shared" ref="I94" si="111">I90*Y94</f>
        <v>163.79226091466222</v>
      </c>
      <c r="J94" s="89">
        <f t="shared" ref="J94" si="112">J90*Z94</f>
        <v>179.87683311235085</v>
      </c>
      <c r="K94" s="89">
        <f t="shared" ref="K94" si="113">K90*AA94</f>
        <v>197.60036093891421</v>
      </c>
      <c r="L94" s="89">
        <f t="shared" ref="L94" si="114">L90*AB94</f>
        <v>217.13572180560874</v>
      </c>
      <c r="M94" s="89">
        <f t="shared" ref="M94" si="115">M90*AC94</f>
        <v>238.67463130180749</v>
      </c>
      <c r="N94" s="89">
        <f t="shared" ref="N94" si="116">N90*AD94</f>
        <v>262.42976009113971</v>
      </c>
      <c r="O94" s="89">
        <f t="shared" ref="O94" si="117">O90*AE94</f>
        <v>288.63709573807756</v>
      </c>
      <c r="P94" s="89">
        <f t="shared" ref="P94" si="118">P90*AF94</f>
        <v>317.55857860344503</v>
      </c>
      <c r="Q94" s="89">
        <f t="shared" ref="Q94" si="119">Q90*AG94</f>
        <v>349.48504450718065</v>
      </c>
      <c r="R94" s="76">
        <f>RATE(12,,-E94,Q94)</f>
        <v>9.8703075280302963E-2</v>
      </c>
      <c r="S94" s="64" t="s">
        <v>16</v>
      </c>
      <c r="T94" s="12">
        <v>0.47099999999999992</v>
      </c>
      <c r="U94" s="12">
        <v>0.47038461538461535</v>
      </c>
      <c r="V94" s="12">
        <v>0.46976923076923072</v>
      </c>
      <c r="W94" s="12">
        <v>0.46915384615384609</v>
      </c>
      <c r="X94" s="12">
        <v>0.46853846153846151</v>
      </c>
      <c r="Y94" s="12">
        <v>0.46792307692307689</v>
      </c>
      <c r="Z94" s="12">
        <v>0.46730769230769226</v>
      </c>
      <c r="AA94" s="12">
        <v>0.46669230769230763</v>
      </c>
      <c r="AB94" s="12">
        <v>0.46607692307692306</v>
      </c>
      <c r="AC94" s="12">
        <v>0.46546153846153843</v>
      </c>
      <c r="AD94" s="12">
        <v>0.4648461538461538</v>
      </c>
      <c r="AE94" s="12">
        <v>0.46423076923076922</v>
      </c>
      <c r="AF94" s="12">
        <v>0.4636153846153846</v>
      </c>
      <c r="AG94" s="12">
        <v>0.46299999999999997</v>
      </c>
    </row>
    <row r="95" spans="1:33" ht="15.75" thickBot="1" x14ac:dyDescent="0.3">
      <c r="A95" s="111"/>
      <c r="B95" s="65" t="s">
        <v>17</v>
      </c>
      <c r="C95" s="55"/>
      <c r="D95" s="90">
        <f>D90*T95</f>
        <v>115.68172000000003</v>
      </c>
      <c r="E95" s="90">
        <f t="shared" ref="E95" si="120">E90*U95</f>
        <v>127.16628895384616</v>
      </c>
      <c r="F95" s="90">
        <f t="shared" ref="F95" si="121">F90*V95</f>
        <v>139.83249039748068</v>
      </c>
      <c r="G95" s="90">
        <f t="shared" ref="G95" si="122">G90*W95</f>
        <v>153.80604916434581</v>
      </c>
      <c r="H95" s="90">
        <f t="shared" ref="H95" si="123">H90*X95</f>
        <v>169.2264974319117</v>
      </c>
      <c r="I95" s="90">
        <f t="shared" ref="I95" si="124">I90*Y95</f>
        <v>186.24873725903643</v>
      </c>
      <c r="J95" s="90">
        <f t="shared" ref="J95" si="125">J90*Z95</f>
        <v>205.04478507045764</v>
      </c>
      <c r="K95" s="90">
        <f t="shared" ref="K95" si="126">K90*AA95</f>
        <v>225.80571985981419</v>
      </c>
      <c r="L95" s="90">
        <f t="shared" ref="L95" si="127">L90*AB95</f>
        <v>248.74385955648296</v>
      </c>
      <c r="M95" s="90">
        <f t="shared" ref="M95" si="128">M90*AC95</f>
        <v>274.09519301210719</v>
      </c>
      <c r="N95" s="90">
        <f t="shared" ref="N95" si="129">N90*AD95</f>
        <v>302.12209845342699</v>
      </c>
      <c r="O95" s="90">
        <f t="shared" ref="O95" si="130">O90*AE95</f>
        <v>333.11638306805474</v>
      </c>
      <c r="P95" s="90">
        <f t="shared" ref="P95" si="131">P90*AF95</f>
        <v>367.40268269484363</v>
      </c>
      <c r="Q95" s="90">
        <f t="shared" ref="Q95" si="132">Q90*AG95</f>
        <v>405.34226544353351</v>
      </c>
      <c r="R95" s="77">
        <f>RATE(12,,-E95,Q95)</f>
        <v>0.10142304190378576</v>
      </c>
      <c r="S95" s="65" t="s">
        <v>17</v>
      </c>
      <c r="T95" s="12">
        <f>1-T94</f>
        <v>0.52900000000000014</v>
      </c>
      <c r="U95" s="12">
        <f t="shared" ref="U95" si="133">1-U94</f>
        <v>0.5296153846153846</v>
      </c>
      <c r="V95" s="12">
        <f t="shared" ref="V95" si="134">1-V94</f>
        <v>0.53023076923076928</v>
      </c>
      <c r="W95" s="12">
        <f t="shared" ref="W95" si="135">1-W94</f>
        <v>0.53084615384615397</v>
      </c>
      <c r="X95" s="12">
        <f t="shared" ref="X95" si="136">1-X94</f>
        <v>0.53146153846153843</v>
      </c>
      <c r="Y95" s="12">
        <f t="shared" ref="Y95" si="137">1-Y94</f>
        <v>0.53207692307692311</v>
      </c>
      <c r="Z95" s="12">
        <f t="shared" ref="Z95" si="138">1-Z94</f>
        <v>0.5326923076923078</v>
      </c>
      <c r="AA95" s="12">
        <f t="shared" ref="AA95" si="139">1-AA94</f>
        <v>0.53330769230769237</v>
      </c>
      <c r="AB95" s="12">
        <f t="shared" ref="AB95" si="140">1-AB94</f>
        <v>0.53392307692307694</v>
      </c>
      <c r="AC95" s="12">
        <f t="shared" ref="AC95" si="141">1-AC94</f>
        <v>0.53453846153846163</v>
      </c>
      <c r="AD95" s="12">
        <f t="shared" ref="AD95" si="142">1-AD94</f>
        <v>0.5351538461538462</v>
      </c>
      <c r="AE95" s="12">
        <f t="shared" ref="AE95" si="143">1-AE94</f>
        <v>0.53576923076923078</v>
      </c>
      <c r="AF95" s="12">
        <f t="shared" ref="AF95" si="144">1-AF94</f>
        <v>0.53638461538461546</v>
      </c>
      <c r="AG95" s="12">
        <f t="shared" ref="AG95" si="145">1-AG94</f>
        <v>0.53700000000000003</v>
      </c>
    </row>
    <row r="96" spans="1:33" ht="15.75" thickBot="1" x14ac:dyDescent="0.3">
      <c r="A96" s="1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21"/>
    </row>
    <row r="97" spans="1:33" x14ac:dyDescent="0.25">
      <c r="A97" s="110" t="s">
        <v>18</v>
      </c>
      <c r="B97" s="61" t="s">
        <v>19</v>
      </c>
      <c r="C97" s="56"/>
      <c r="D97" s="91">
        <f>D90*T97</f>
        <v>87.69068</v>
      </c>
      <c r="E97" s="91">
        <f t="shared" ref="E97" si="146">E90*U97</f>
        <v>96.68076657565372</v>
      </c>
      <c r="F97" s="91">
        <f t="shared" ref="F97" si="147">F90*V97</f>
        <v>106.62429029293114</v>
      </c>
      <c r="G97" s="91">
        <f t="shared" ref="G97" si="148">G90*W97</f>
        <v>117.62564988009464</v>
      </c>
      <c r="H97" s="91">
        <f t="shared" ref="H97" si="149">H90*X97</f>
        <v>129.80102653854445</v>
      </c>
      <c r="I97" s="91">
        <f t="shared" ref="I97" si="150">I90*Y97</f>
        <v>143.27975250657474</v>
      </c>
      <c r="J97" s="91">
        <f t="shared" ref="J97" si="151">J90*Z97</f>
        <v>158.20584300398667</v>
      </c>
      <c r="K97" s="91">
        <f t="shared" ref="K97" si="152">K90*AA97</f>
        <v>174.73971158034342</v>
      </c>
      <c r="L97" s="91">
        <f t="shared" ref="L97" si="153">L90*AB97</f>
        <v>193.06009140596697</v>
      </c>
      <c r="M97" s="91">
        <f t="shared" ref="M97" si="154">M90*AC97</f>
        <v>213.36618788505322</v>
      </c>
      <c r="N97" s="91">
        <f t="shared" ref="N97" si="155">N90*AD97</f>
        <v>235.88009117721234</v>
      </c>
      <c r="O97" s="91">
        <f t="shared" ref="O97" si="156">O90*AE97</f>
        <v>260.8494808357662</v>
      </c>
      <c r="P97" s="91">
        <f t="shared" ref="P97" si="157">P90*AF97</f>
        <v>288.55065886324434</v>
      </c>
      <c r="Q97" s="91">
        <f t="shared" ref="Q97" si="158">Q90*AG97</f>
        <v>319.29195210915162</v>
      </c>
      <c r="R97" s="78">
        <f>RATE(12,,-E97,Q97)</f>
        <v>0.10468211791041794</v>
      </c>
      <c r="S97" s="61" t="s">
        <v>19</v>
      </c>
      <c r="T97" s="12">
        <v>0.40099999999999997</v>
      </c>
      <c r="U97" s="12">
        <v>0.40265090533119946</v>
      </c>
      <c r="V97" s="12">
        <v>0.40430860739160734</v>
      </c>
      <c r="W97" s="12">
        <v>0.40597313416316017</v>
      </c>
      <c r="X97" s="12">
        <v>0.40764451374299493</v>
      </c>
      <c r="Y97" s="12">
        <v>0.40932277434392395</v>
      </c>
      <c r="Z97" s="12">
        <v>0.41100794429491083</v>
      </c>
      <c r="AA97" s="12">
        <v>0.4127000520415488</v>
      </c>
      <c r="AB97" s="12">
        <v>0.41439912614654062</v>
      </c>
      <c r="AC97" s="12">
        <v>0.41610519529018092</v>
      </c>
      <c r="AD97" s="12">
        <v>0.41781828827084017</v>
      </c>
      <c r="AE97" s="12">
        <v>0.4195384340054511</v>
      </c>
      <c r="AF97" s="12">
        <v>0.4212656615299965</v>
      </c>
      <c r="AG97" s="12">
        <v>0.42299999999999938</v>
      </c>
    </row>
    <row r="98" spans="1:33" ht="15.75" thickBot="1" x14ac:dyDescent="0.3">
      <c r="A98" s="111"/>
      <c r="B98" s="63" t="s">
        <v>20</v>
      </c>
      <c r="C98" s="51"/>
      <c r="D98" s="92">
        <f>D90*T98</f>
        <v>130.98931999999999</v>
      </c>
      <c r="E98" s="92">
        <f t="shared" ref="E98" si="159">E90*U98</f>
        <v>143.42987342434628</v>
      </c>
      <c r="F98" s="92">
        <f t="shared" ref="F98" si="160">F90*V98</f>
        <v>157.09576993733853</v>
      </c>
      <c r="G98" s="92">
        <f t="shared" ref="G98" si="161">G90*W98</f>
        <v>172.11187209302446</v>
      </c>
      <c r="H98" s="92">
        <f t="shared" ref="H98" si="162">H90*X98</f>
        <v>188.61617806629735</v>
      </c>
      <c r="I98" s="92">
        <f t="shared" ref="I98" si="163">I90*Y98</f>
        <v>206.76124566712392</v>
      </c>
      <c r="J98" s="92">
        <f t="shared" ref="J98" si="164">J90*Z98</f>
        <v>226.71577517882179</v>
      </c>
      <c r="K98" s="92">
        <f t="shared" ref="K98" si="165">K90*AA98</f>
        <v>248.66636921838497</v>
      </c>
      <c r="L98" s="92">
        <f t="shared" ref="L98" si="166">L90*AB98</f>
        <v>272.8194899561247</v>
      </c>
      <c r="M98" s="92">
        <f t="shared" ref="M98" si="167">M90*AC98</f>
        <v>299.40363642886149</v>
      </c>
      <c r="N98" s="92">
        <f t="shared" ref="N98" si="168">N90*AD98</f>
        <v>328.67176736735439</v>
      </c>
      <c r="O98" s="92">
        <f t="shared" ref="O98" si="169">O90*AE98</f>
        <v>360.90399797036611</v>
      </c>
      <c r="P98" s="92">
        <f t="shared" ref="P98" si="170">P90*AF98</f>
        <v>396.41060243504421</v>
      </c>
      <c r="Q98" s="92">
        <f t="shared" ref="Q98" si="171">Q90*AG98</f>
        <v>435.53535784156253</v>
      </c>
      <c r="R98" s="79">
        <f>RATE(12,,-E98,Q98)</f>
        <v>9.6979849916657493E-2</v>
      </c>
      <c r="S98" s="63" t="s">
        <v>20</v>
      </c>
      <c r="T98" s="12">
        <f>1-T97</f>
        <v>0.59899999999999998</v>
      </c>
      <c r="U98" s="12">
        <f t="shared" ref="U98" si="172">1-U97</f>
        <v>0.59734909466880048</v>
      </c>
      <c r="V98" s="12">
        <f t="shared" ref="V98" si="173">1-V97</f>
        <v>0.59569139260839266</v>
      </c>
      <c r="W98" s="12">
        <f t="shared" ref="W98" si="174">1-W97</f>
        <v>0.59402686583683983</v>
      </c>
      <c r="X98" s="12">
        <f t="shared" ref="X98" si="175">1-X97</f>
        <v>0.59235548625700507</v>
      </c>
      <c r="Y98" s="12">
        <f t="shared" ref="Y98" si="176">1-Y97</f>
        <v>0.59067722565607605</v>
      </c>
      <c r="Z98" s="12">
        <f t="shared" ref="Z98" si="177">1-Z97</f>
        <v>0.58899205570508917</v>
      </c>
      <c r="AA98" s="12">
        <f t="shared" ref="AA98" si="178">1-AA97</f>
        <v>0.5872999479584512</v>
      </c>
      <c r="AB98" s="12">
        <f t="shared" ref="AB98" si="179">1-AB97</f>
        <v>0.58560087385345938</v>
      </c>
      <c r="AC98" s="12">
        <f t="shared" ref="AC98" si="180">1-AC97</f>
        <v>0.58389480470981914</v>
      </c>
      <c r="AD98" s="12">
        <f t="shared" ref="AD98" si="181">1-AD97</f>
        <v>0.58218171172915989</v>
      </c>
      <c r="AE98" s="12">
        <f t="shared" ref="AE98" si="182">1-AE97</f>
        <v>0.5804615659945489</v>
      </c>
      <c r="AF98" s="12">
        <f t="shared" ref="AF98" si="183">1-AF97</f>
        <v>0.57873433847000344</v>
      </c>
      <c r="AG98" s="12">
        <f t="shared" ref="AG98" si="184">1-AG97</f>
        <v>0.57700000000000062</v>
      </c>
    </row>
    <row r="99" spans="1:33" ht="15.75" thickBot="1" x14ac:dyDescent="0.3">
      <c r="A99" s="2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21"/>
    </row>
    <row r="100" spans="1:33" x14ac:dyDescent="0.25">
      <c r="A100" s="110" t="s">
        <v>14</v>
      </c>
      <c r="B100" s="66" t="s">
        <v>21</v>
      </c>
      <c r="C100" s="57"/>
      <c r="D100" s="93">
        <f>D90*T100</f>
        <v>54.67</v>
      </c>
      <c r="E100" s="93">
        <f t="shared" ref="E100" si="185">E90*U100</f>
        <v>60.401256643029569</v>
      </c>
      <c r="F100" s="93">
        <f t="shared" ref="F100" si="186">F90*V100</f>
        <v>66.75323160515957</v>
      </c>
      <c r="G100" s="93">
        <f t="shared" ref="G100" si="187">G90*W100</f>
        <v>73.795253779226243</v>
      </c>
      <c r="H100" s="93">
        <f t="shared" ref="H100" si="188">H90*X100</f>
        <v>81.604625243270789</v>
      </c>
      <c r="I100" s="93">
        <f t="shared" ref="I100" si="189">I90*Y100</f>
        <v>90.267564117127066</v>
      </c>
      <c r="J100" s="93">
        <f t="shared" ref="J100" si="190">J90*Z100</f>
        <v>99.880261921987028</v>
      </c>
      <c r="K100" s="93">
        <f t="shared" ref="K100" si="191">K90*AA100</f>
        <v>110.55006970753762</v>
      </c>
      <c r="L100" s="93">
        <f t="shared" ref="L100" si="192">L90*AB100</f>
        <v>122.39682903235962</v>
      </c>
      <c r="M100" s="93">
        <f t="shared" ref="M100" si="193">M90*AC100</f>
        <v>135.55436594240609</v>
      </c>
      <c r="N100" s="93">
        <f t="shared" ref="N100" si="194">N90*AD100</f>
        <v>150.17216842136679</v>
      </c>
      <c r="O100" s="93">
        <f t="shared" ref="O100" si="195">O90*AE100</f>
        <v>166.41727042174566</v>
      </c>
      <c r="P100" s="93">
        <f t="shared" ref="P100" si="196">P90*AF100</f>
        <v>184.47636856767573</v>
      </c>
      <c r="Q100" s="93">
        <f t="shared" ref="Q100" si="197">Q90*AG100</f>
        <v>204.55820099664362</v>
      </c>
      <c r="R100" s="80">
        <f t="shared" ref="R100:R105" si="198">RATE(12,,-E100,Q100)</f>
        <v>0.10699988760831274</v>
      </c>
      <c r="S100" s="66" t="s">
        <v>21</v>
      </c>
      <c r="T100" s="12">
        <v>0.25</v>
      </c>
      <c r="U100" s="12">
        <v>0.25155593539307364</v>
      </c>
      <c r="V100" s="12">
        <v>0.25312155452593693</v>
      </c>
      <c r="W100" s="12">
        <v>0.25469691766768382</v>
      </c>
      <c r="X100" s="12">
        <v>0.25628208546250747</v>
      </c>
      <c r="Y100" s="12">
        <v>0.2578771189320348</v>
      </c>
      <c r="Z100" s="12">
        <v>0.25948207947767565</v>
      </c>
      <c r="AA100" s="12">
        <v>0.2610970288829863</v>
      </c>
      <c r="AB100" s="12">
        <v>0.26272202931604799</v>
      </c>
      <c r="AC100" s="12">
        <v>0.26435714333185978</v>
      </c>
      <c r="AD100" s="12">
        <v>0.26600243387474731</v>
      </c>
      <c r="AE100" s="12">
        <v>0.26765796428078514</v>
      </c>
      <c r="AF100" s="12">
        <v>0.26932379828023517</v>
      </c>
      <c r="AG100" s="12">
        <v>0.27100000000000013</v>
      </c>
    </row>
    <row r="101" spans="1:33" x14ac:dyDescent="0.25">
      <c r="A101" s="112"/>
      <c r="B101" s="67" t="s">
        <v>22</v>
      </c>
      <c r="C101" s="48"/>
      <c r="D101" s="94">
        <f>D90*T101</f>
        <v>83.098399999999998</v>
      </c>
      <c r="E101" s="94">
        <f t="shared" ref="E101" si="199">E90*U101</f>
        <v>91.460517321474754</v>
      </c>
      <c r="F101" s="94">
        <f t="shared" ref="F101" si="200">F90*V101</f>
        <v>100.69410961376369</v>
      </c>
      <c r="G101" s="94">
        <f t="shared" ref="G101" si="201">G90*W101</f>
        <v>110.89304088105717</v>
      </c>
      <c r="H101" s="94">
        <f t="shared" ref="H101" si="202">H90*X101</f>
        <v>122.16160450693087</v>
      </c>
      <c r="I101" s="94">
        <f t="shared" ref="I101" si="203">I90*Y101</f>
        <v>134.61571679926664</v>
      </c>
      <c r="J101" s="94">
        <f t="shared" ref="J101" si="204">J90*Z101</f>
        <v>148.3842510183112</v>
      </c>
      <c r="K101" s="94">
        <f t="shared" ref="K101" si="205">K90*AA101</f>
        <v>163.61052887281789</v>
      </c>
      <c r="L101" s="94">
        <f t="shared" ref="L101" si="206">L90*AB101</f>
        <v>180.45398857621188</v>
      </c>
      <c r="M101" s="94">
        <f t="shared" ref="M101" si="207">M90*AC101</f>
        <v>199.09205092960863</v>
      </c>
      <c r="N101" s="94">
        <f t="shared" ref="N101" si="208">N90*AD101</f>
        <v>219.72220757618871</v>
      </c>
      <c r="O101" s="94">
        <f t="shared" ref="O101" si="209">O90*AE101</f>
        <v>242.56435859140922</v>
      </c>
      <c r="P101" s="94">
        <f t="shared" ref="P101" si="210">P90*AF101</f>
        <v>267.86342998062224</v>
      </c>
      <c r="Q101" s="94">
        <f t="shared" ref="Q101" si="211">Q90*AG101</f>
        <v>295.89230550067998</v>
      </c>
      <c r="R101" s="81">
        <f t="shared" si="198"/>
        <v>0.10278707699383892</v>
      </c>
      <c r="S101" s="67" t="s">
        <v>22</v>
      </c>
      <c r="T101" s="12">
        <v>0.38</v>
      </c>
      <c r="U101" s="12">
        <v>0.38090988938047371</v>
      </c>
      <c r="V101" s="12">
        <v>0.38182195744169661</v>
      </c>
      <c r="W101" s="12">
        <v>0.38273620940040159</v>
      </c>
      <c r="X101" s="12">
        <v>0.38365265048581265</v>
      </c>
      <c r="Y101" s="12">
        <v>0.38457128593967477</v>
      </c>
      <c r="Z101" s="12">
        <v>0.38549212101628438</v>
      </c>
      <c r="AA101" s="12">
        <v>0.38641516098251855</v>
      </c>
      <c r="AB101" s="12">
        <v>0.38734041111786593</v>
      </c>
      <c r="AC101" s="12">
        <v>0.38826787671445667</v>
      </c>
      <c r="AD101" s="12">
        <v>0.38919756307709236</v>
      </c>
      <c r="AE101" s="12">
        <v>0.39012947552327681</v>
      </c>
      <c r="AF101" s="12">
        <v>0.3910636193832463</v>
      </c>
      <c r="AG101" s="12">
        <v>0.39200000000000002</v>
      </c>
    </row>
    <row r="102" spans="1:33" x14ac:dyDescent="0.25">
      <c r="A102" s="112"/>
      <c r="B102" s="68" t="s">
        <v>23</v>
      </c>
      <c r="C102" s="48"/>
      <c r="D102" s="95">
        <f>D101*T102</f>
        <v>29.084439999999987</v>
      </c>
      <c r="E102" s="95">
        <f t="shared" ref="E102" si="212">E101*U102</f>
        <v>31.955013683723241</v>
      </c>
      <c r="F102" s="95">
        <f t="shared" ref="F102" si="213">F101*V102</f>
        <v>35.119371113154429</v>
      </c>
      <c r="G102" s="95">
        <f t="shared" ref="G102" si="214">G101*W102</f>
        <v>38.608618958632491</v>
      </c>
      <c r="H102" s="95">
        <f t="shared" ref="H102" si="215">H101*X102</f>
        <v>42.4572648108932</v>
      </c>
      <c r="I102" s="95">
        <f t="shared" ref="I102" si="216">I101*Y102</f>
        <v>46.703600459499434</v>
      </c>
      <c r="J102" s="95">
        <f t="shared" ref="J102" si="217">J101*Z102</f>
        <v>51.390129629496847</v>
      </c>
      <c r="K102" s="95">
        <f t="shared" ref="K102" si="218">K101*AA102</f>
        <v>56.564045476910444</v>
      </c>
      <c r="L102" s="95">
        <f t="shared" ref="L102" si="219">L101*AB102</f>
        <v>62.277763792502533</v>
      </c>
      <c r="M102" s="95">
        <f t="shared" ref="M102" si="220">M101*AC102</f>
        <v>68.589518593456404</v>
      </c>
      <c r="N102" s="95">
        <f t="shared" ref="N102" si="221">N101*AD102</f>
        <v>75.564027604809439</v>
      </c>
      <c r="O102" s="95">
        <f t="shared" ref="O102" si="222">O101*AE102</f>
        <v>83.273236058383688</v>
      </c>
      <c r="P102" s="95">
        <f t="shared" ref="P102" si="223">P101*AF102</f>
        <v>91.797148280067617</v>
      </c>
      <c r="Q102" s="95">
        <f t="shared" ref="Q102" si="224">Q101*AG102</f>
        <v>101.22475771178256</v>
      </c>
      <c r="R102" s="81">
        <f t="shared" si="198"/>
        <v>0.10085210747634918</v>
      </c>
      <c r="S102" s="68" t="s">
        <v>23</v>
      </c>
      <c r="T102" s="74">
        <v>0.34999999999999987</v>
      </c>
      <c r="U102" s="74">
        <v>0.34938588387166564</v>
      </c>
      <c r="V102" s="74">
        <v>0.34877284528224306</v>
      </c>
      <c r="W102" s="74">
        <v>0.34816088234106346</v>
      </c>
      <c r="X102" s="74">
        <v>0.34754999316077562</v>
      </c>
      <c r="Y102" s="74">
        <v>0.34694017585733994</v>
      </c>
      <c r="Z102" s="74">
        <v>0.34633142855002247</v>
      </c>
      <c r="AA102" s="74">
        <v>0.34572374936138933</v>
      </c>
      <c r="AB102" s="74">
        <v>0.34511713641730069</v>
      </c>
      <c r="AC102" s="74">
        <v>0.34451158784690528</v>
      </c>
      <c r="AD102" s="74">
        <v>0.34390710178263434</v>
      </c>
      <c r="AE102" s="74">
        <v>0.34330367636019604</v>
      </c>
      <c r="AF102" s="74">
        <v>0.34270130971856966</v>
      </c>
      <c r="AG102" s="74">
        <v>0.34209999999999979</v>
      </c>
    </row>
    <row r="103" spans="1:33" x14ac:dyDescent="0.25">
      <c r="A103" s="112"/>
      <c r="B103" s="68" t="s">
        <v>24</v>
      </c>
      <c r="C103" s="48"/>
      <c r="D103" s="95">
        <f>D101*T103</f>
        <v>23.267552000000002</v>
      </c>
      <c r="E103" s="95">
        <f t="shared" ref="E103" si="225">E101*U103</f>
        <v>25.698501918934721</v>
      </c>
      <c r="F103" s="95">
        <f t="shared" ref="F103" si="226">F101*V103</f>
        <v>28.391892489769663</v>
      </c>
      <c r="G103" s="95">
        <f t="shared" ref="G103" si="227">G101*W103</f>
        <v>31.37694748077557</v>
      </c>
      <c r="H103" s="95">
        <f t="shared" ref="H103" si="228">H101*X103</f>
        <v>34.686241899369861</v>
      </c>
      <c r="I103" s="95">
        <f t="shared" ref="I103" si="229">I101*Y103</f>
        <v>38.356097203797432</v>
      </c>
      <c r="J103" s="95">
        <f t="shared" ref="J103" si="230">J101*Z103</f>
        <v>42.427024384912883</v>
      </c>
      <c r="K103" s="95">
        <f t="shared" ref="K103" si="231">K101*AA103</f>
        <v>46.944220866710268</v>
      </c>
      <c r="L103" s="95">
        <f t="shared" ref="L103" si="232">L101*AB103</f>
        <v>51.95812793185776</v>
      </c>
      <c r="M103" s="95">
        <f t="shared" ref="M103" si="233">M101*AC103</f>
        <v>57.525056234901378</v>
      </c>
      <c r="N103" s="95">
        <f t="shared" ref="N103" si="234">N101*AD103</f>
        <v>63.707887934187134</v>
      </c>
      <c r="O103" s="95">
        <f t="shared" ref="O103" si="235">O101*AE103</f>
        <v>70.576865068891095</v>
      </c>
      <c r="P103" s="95">
        <f t="shared" ref="P103" si="236">P101*AF103</f>
        <v>78.210475046868694</v>
      </c>
      <c r="Q103" s="95">
        <f t="shared" ref="Q103" si="237">Q101*AG103</f>
        <v>86.696445511699125</v>
      </c>
      <c r="R103" s="81">
        <f t="shared" si="198"/>
        <v>0.10664363488231203</v>
      </c>
      <c r="S103" s="68" t="s">
        <v>24</v>
      </c>
      <c r="T103" s="74">
        <v>0.28000000000000003</v>
      </c>
      <c r="U103" s="74">
        <v>0.28097918830490543</v>
      </c>
      <c r="V103" s="74">
        <v>0.28196180093029821</v>
      </c>
      <c r="W103" s="74">
        <v>0.28294784985137333</v>
      </c>
      <c r="X103" s="74">
        <v>0.28393734708520407</v>
      </c>
      <c r="Y103" s="74">
        <v>0.28493030469088876</v>
      </c>
      <c r="Z103" s="74">
        <v>0.28592673476969749</v>
      </c>
      <c r="AA103" s="74">
        <v>0.28692664946521995</v>
      </c>
      <c r="AB103" s="74">
        <v>0.28793006096351298</v>
      </c>
      <c r="AC103" s="74">
        <v>0.28893698149324931</v>
      </c>
      <c r="AD103" s="74">
        <v>0.28994742332586665</v>
      </c>
      <c r="AE103" s="74">
        <v>0.29096139877571725</v>
      </c>
      <c r="AF103" s="74">
        <v>0.29197892020021765</v>
      </c>
      <c r="AG103" s="74">
        <v>0.29299999999999965</v>
      </c>
    </row>
    <row r="104" spans="1:33" x14ac:dyDescent="0.25">
      <c r="A104" s="112"/>
      <c r="B104" s="68" t="s">
        <v>25</v>
      </c>
      <c r="C104" s="48"/>
      <c r="D104" s="95">
        <f>D101*T104</f>
        <v>30.74640800000001</v>
      </c>
      <c r="E104" s="95">
        <f t="shared" ref="E104" si="238">E101*U104</f>
        <v>33.807001718816799</v>
      </c>
      <c r="F104" s="95">
        <f t="shared" ref="F104" si="239">F101*V104</f>
        <v>37.182846010839597</v>
      </c>
      <c r="G104" s="95">
        <f t="shared" ref="G104" si="240">G101*W104</f>
        <v>40.907474441649114</v>
      </c>
      <c r="H104" s="95">
        <f t="shared" ref="H104" si="241">H101*X104</f>
        <v>45.018097796667803</v>
      </c>
      <c r="I104" s="95">
        <f t="shared" ref="I104" si="242">I101*Y104</f>
        <v>49.556019135969763</v>
      </c>
      <c r="J104" s="95">
        <f t="shared" ref="J104" si="243">J101*Z104</f>
        <v>54.567097003901473</v>
      </c>
      <c r="K104" s="95">
        <f t="shared" ref="K104" si="244">K101*AA104</f>
        <v>60.102262529197191</v>
      </c>
      <c r="L104" s="95">
        <f t="shared" ref="L104" si="245">L101*AB104</f>
        <v>66.218096851851598</v>
      </c>
      <c r="M104" s="95">
        <f t="shared" ref="M104" si="246">M101*AC104</f>
        <v>72.977476101250843</v>
      </c>
      <c r="N104" s="95">
        <f t="shared" ref="N104" si="247">N101*AD104</f>
        <v>80.450292037192128</v>
      </c>
      <c r="O104" s="95">
        <f t="shared" ref="O104" si="248">O101*AE104</f>
        <v>88.71425746413442</v>
      </c>
      <c r="P104" s="95">
        <f t="shared" ref="P104" si="249">P101*AF104</f>
        <v>97.855806653685946</v>
      </c>
      <c r="Q104" s="95">
        <f t="shared" ref="Q104" si="250">Q101*AG104</f>
        <v>107.97110227719828</v>
      </c>
      <c r="R104" s="81">
        <f t="shared" si="198"/>
        <v>0.10160290695595559</v>
      </c>
      <c r="S104" s="68" t="s">
        <v>25</v>
      </c>
      <c r="T104" s="74">
        <f>1-SUM(T102:T103)</f>
        <v>0.37000000000000011</v>
      </c>
      <c r="U104" s="74">
        <f t="shared" ref="U104" si="251">1-SUM(U102:U103)</f>
        <v>0.36963492782342899</v>
      </c>
      <c r="V104" s="74">
        <f t="shared" ref="V104" si="252">1-SUM(V102:V103)</f>
        <v>0.36926535378745873</v>
      </c>
      <c r="W104" s="74">
        <f t="shared" ref="W104" si="253">1-SUM(W102:W103)</f>
        <v>0.36889126780756321</v>
      </c>
      <c r="X104" s="74">
        <f t="shared" ref="X104" si="254">1-SUM(X102:X103)</f>
        <v>0.36851265975402026</v>
      </c>
      <c r="Y104" s="74">
        <f t="shared" ref="Y104" si="255">1-SUM(Y102:Y103)</f>
        <v>0.3681295194517713</v>
      </c>
      <c r="Z104" s="74">
        <f t="shared" ref="Z104" si="256">1-SUM(Z102:Z103)</f>
        <v>0.36774183668028004</v>
      </c>
      <c r="AA104" s="74">
        <f t="shared" ref="AA104" si="257">1-SUM(AA102:AA103)</f>
        <v>0.36734960117339077</v>
      </c>
      <c r="AB104" s="74">
        <f t="shared" ref="AB104" si="258">1-SUM(AB102:AB103)</f>
        <v>0.36695280261918639</v>
      </c>
      <c r="AC104" s="74">
        <f t="shared" ref="AC104" si="259">1-SUM(AC102:AC103)</f>
        <v>0.36655143065984541</v>
      </c>
      <c r="AD104" s="74">
        <f t="shared" ref="AD104" si="260">1-SUM(AD102:AD103)</f>
        <v>0.36614547489149896</v>
      </c>
      <c r="AE104" s="74">
        <f t="shared" ref="AE104" si="261">1-SUM(AE102:AE103)</f>
        <v>0.36573492486408665</v>
      </c>
      <c r="AF104" s="74">
        <f t="shared" ref="AF104" si="262">1-SUM(AF102:AF103)</f>
        <v>0.36531977008121275</v>
      </c>
      <c r="AG104" s="74">
        <f t="shared" ref="AG104" si="263">1-SUM(AG102:AG103)</f>
        <v>0.36490000000000056</v>
      </c>
    </row>
    <row r="105" spans="1:33" ht="15.75" thickBot="1" x14ac:dyDescent="0.3">
      <c r="A105" s="111"/>
      <c r="B105" s="69" t="s">
        <v>26</v>
      </c>
      <c r="C105" s="58"/>
      <c r="D105" s="96">
        <f>D90*T105</f>
        <v>80.911600000000007</v>
      </c>
      <c r="E105" s="96">
        <f t="shared" ref="E105" si="264">E90*U105</f>
        <v>88.248866035495709</v>
      </c>
      <c r="F105" s="96">
        <f t="shared" ref="F105" si="265">F90*V105</f>
        <v>96.272719011346396</v>
      </c>
      <c r="G105" s="96">
        <f t="shared" ref="G105" si="266">G90*W105</f>
        <v>105.04922731283568</v>
      </c>
      <c r="H105" s="96">
        <f t="shared" ref="H105" si="267">H90*X105</f>
        <v>114.65097485464015</v>
      </c>
      <c r="I105" s="96">
        <f t="shared" ref="I105" si="268">I90*Y105</f>
        <v>125.15771725730494</v>
      </c>
      <c r="J105" s="96">
        <f t="shared" ref="J105" si="269">J90*Z105</f>
        <v>136.65710524251023</v>
      </c>
      <c r="K105" s="96">
        <f t="shared" ref="K105" si="270">K90*AA105</f>
        <v>149.2454822183729</v>
      </c>
      <c r="L105" s="96">
        <f t="shared" ref="L105" si="271">L90*AB105</f>
        <v>163.0287637535202</v>
      </c>
      <c r="M105" s="96">
        <f t="shared" ref="M105" si="272">M90*AC105</f>
        <v>178.12340744189999</v>
      </c>
      <c r="N105" s="96">
        <f t="shared" ref="N105" si="273">N90*AD105</f>
        <v>194.6574825470112</v>
      </c>
      <c r="O105" s="96">
        <f t="shared" ref="O105" si="274">O90*AE105</f>
        <v>212.77184979297743</v>
      </c>
      <c r="P105" s="96">
        <f t="shared" ref="P105" si="275">P90*AF105</f>
        <v>232.62146274999066</v>
      </c>
      <c r="Q105" s="96">
        <f t="shared" ref="Q105" si="276">Q90*AG105</f>
        <v>254.37680345339055</v>
      </c>
      <c r="R105" s="82">
        <f t="shared" si="198"/>
        <v>9.2229823913735839E-2</v>
      </c>
      <c r="S105" s="69" t="s">
        <v>26</v>
      </c>
      <c r="T105" s="12">
        <f>1-SUM(T100+T101)</f>
        <v>0.37</v>
      </c>
      <c r="U105" s="12">
        <f t="shared" ref="U105:AG105" si="277">1-SUM(U100+U101)</f>
        <v>0.36753417522645271</v>
      </c>
      <c r="V105" s="12">
        <f t="shared" si="277"/>
        <v>0.36505648803236646</v>
      </c>
      <c r="W105" s="12">
        <f t="shared" si="277"/>
        <v>0.36256687293191459</v>
      </c>
      <c r="X105" s="12">
        <f t="shared" si="277"/>
        <v>0.36006526405167993</v>
      </c>
      <c r="Y105" s="12">
        <f t="shared" si="277"/>
        <v>0.35755159512829038</v>
      </c>
      <c r="Z105" s="12">
        <f t="shared" si="277"/>
        <v>0.35502579950603996</v>
      </c>
      <c r="AA105" s="12">
        <f t="shared" si="277"/>
        <v>0.35248781013449515</v>
      </c>
      <c r="AB105" s="12">
        <f t="shared" si="277"/>
        <v>0.34993755956608608</v>
      </c>
      <c r="AC105" s="12">
        <f t="shared" si="277"/>
        <v>0.3473749799536836</v>
      </c>
      <c r="AD105" s="12">
        <f t="shared" si="277"/>
        <v>0.34480000304816039</v>
      </c>
      <c r="AE105" s="12">
        <f t="shared" si="277"/>
        <v>0.34221256019593804</v>
      </c>
      <c r="AF105" s="12">
        <f t="shared" si="277"/>
        <v>0.33961258233651859</v>
      </c>
      <c r="AG105" s="12">
        <f t="shared" si="277"/>
        <v>0.33699999999999986</v>
      </c>
    </row>
    <row r="106" spans="1:33" ht="15.75" thickBot="1" x14ac:dyDescent="0.3">
      <c r="A106" s="2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21"/>
    </row>
    <row r="107" spans="1:33" x14ac:dyDescent="0.25">
      <c r="A107" s="113" t="s">
        <v>27</v>
      </c>
      <c r="B107" s="61" t="s">
        <v>28</v>
      </c>
      <c r="C107" s="56"/>
      <c r="D107" s="91">
        <f>D90*T107</f>
        <v>87.69068</v>
      </c>
      <c r="E107" s="91">
        <f t="shared" ref="E107" si="278">E90*U107</f>
        <v>96.68076657565372</v>
      </c>
      <c r="F107" s="91">
        <f t="shared" ref="F107" si="279">F90*V107</f>
        <v>106.62429029293114</v>
      </c>
      <c r="G107" s="91">
        <f t="shared" ref="G107" si="280">G90*W107</f>
        <v>117.62564988009464</v>
      </c>
      <c r="H107" s="91">
        <f t="shared" ref="H107" si="281">H90*X107</f>
        <v>129.80102653854445</v>
      </c>
      <c r="I107" s="91">
        <f t="shared" ref="I107" si="282">I90*Y107</f>
        <v>143.27975250657474</v>
      </c>
      <c r="J107" s="91">
        <f t="shared" ref="J107" si="283">J90*Z107</f>
        <v>158.20584300398667</v>
      </c>
      <c r="K107" s="91">
        <f t="shared" ref="K107" si="284">K90*AA107</f>
        <v>174.73971158034342</v>
      </c>
      <c r="L107" s="91">
        <f t="shared" ref="L107" si="285">L90*AB107</f>
        <v>193.06009140596697</v>
      </c>
      <c r="M107" s="91">
        <f t="shared" ref="M107" si="286">M90*AC107</f>
        <v>213.36618788505322</v>
      </c>
      <c r="N107" s="91">
        <f t="shared" ref="N107" si="287">N90*AD107</f>
        <v>235.88009117721234</v>
      </c>
      <c r="O107" s="91">
        <f t="shared" ref="O107" si="288">O90*AE107</f>
        <v>260.8494808357662</v>
      </c>
      <c r="P107" s="91">
        <f t="shared" ref="P107" si="289">P90*AF107</f>
        <v>288.55065886324434</v>
      </c>
      <c r="Q107" s="91">
        <f t="shared" ref="Q107" si="290">Q90*AG107</f>
        <v>319.29195210915162</v>
      </c>
      <c r="R107" s="78">
        <f>RATE(12,,-E107,Q107)</f>
        <v>0.10468211791041794</v>
      </c>
      <c r="S107" s="61" t="s">
        <v>28</v>
      </c>
      <c r="T107" s="12">
        <v>0.40099999999999997</v>
      </c>
      <c r="U107" s="12">
        <v>0.40265090533119946</v>
      </c>
      <c r="V107" s="12">
        <v>0.40430860739160734</v>
      </c>
      <c r="W107" s="12">
        <v>0.40597313416316017</v>
      </c>
      <c r="X107" s="12">
        <v>0.40764451374299493</v>
      </c>
      <c r="Y107" s="12">
        <v>0.40932277434392395</v>
      </c>
      <c r="Z107" s="12">
        <v>0.41100794429491083</v>
      </c>
      <c r="AA107" s="12">
        <v>0.4127000520415488</v>
      </c>
      <c r="AB107" s="12">
        <v>0.41439912614654062</v>
      </c>
      <c r="AC107" s="12">
        <v>0.41610519529018092</v>
      </c>
      <c r="AD107" s="12">
        <v>0.41781828827084017</v>
      </c>
      <c r="AE107" s="12">
        <v>0.4195384340054511</v>
      </c>
      <c r="AF107" s="12">
        <v>0.4212656615299965</v>
      </c>
      <c r="AG107" s="12">
        <v>0.42299999999999938</v>
      </c>
    </row>
    <row r="108" spans="1:33" x14ac:dyDescent="0.25">
      <c r="A108" s="114"/>
      <c r="B108" s="62" t="s">
        <v>29</v>
      </c>
      <c r="C108" s="47"/>
      <c r="D108" s="97">
        <f>D90*T108</f>
        <v>94.251080000000002</v>
      </c>
      <c r="E108" s="97">
        <f t="shared" ref="E108" si="291">E90*U108</f>
        <v>103.68850159163181</v>
      </c>
      <c r="F108" s="97">
        <f t="shared" ref="F108" si="292">F90*V108</f>
        <v>114.10489678086022</v>
      </c>
      <c r="G108" s="97">
        <f t="shared" ref="G108" si="293">G90*W108</f>
        <v>125.60524663813463</v>
      </c>
      <c r="H108" s="97">
        <f t="shared" ref="H108" si="294">H90*X108</f>
        <v>138.30614854733764</v>
      </c>
      <c r="I108" s="97">
        <f t="shared" ref="I108" si="295">I90*Y108</f>
        <v>152.33714035406732</v>
      </c>
      <c r="J108" s="97">
        <f t="shared" ref="J108" si="296">J90*Z108</f>
        <v>167.84217978486839</v>
      </c>
      <c r="K108" s="97">
        <f t="shared" ref="K108" si="297">K90*AA108</f>
        <v>184.98129784295134</v>
      </c>
      <c r="L108" s="97">
        <f t="shared" ref="L108" si="298">L90*AB108</f>
        <v>203.93244719839771</v>
      </c>
      <c r="M108" s="97">
        <f t="shared" ref="M108" si="299">M90*AC108</f>
        <v>224.89356919636208</v>
      </c>
      <c r="N108" s="97">
        <f t="shared" ref="N108" si="300">N90*AD108</f>
        <v>248.08490604337985</v>
      </c>
      <c r="O108" s="97">
        <f t="shared" ref="O108" si="301">O90*AE108</f>
        <v>273.75158804266272</v>
      </c>
      <c r="P108" s="97">
        <f t="shared" ref="P108" si="302">P90*AF108</f>
        <v>302.16652948302908</v>
      </c>
      <c r="Q108" s="97">
        <f t="shared" ref="Q108" si="303">Q90*AG108</f>
        <v>333.63367099821585</v>
      </c>
      <c r="R108" s="83">
        <f>RATE(12,,-E108,Q108)</f>
        <v>0.102287644955874</v>
      </c>
      <c r="S108" s="62" t="s">
        <v>29</v>
      </c>
      <c r="T108" s="12">
        <v>0.43099999999999999</v>
      </c>
      <c r="U108" s="12">
        <v>0.43183634674261745</v>
      </c>
      <c r="V108" s="12">
        <v>0.43267431639909548</v>
      </c>
      <c r="W108" s="12">
        <v>0.43351391211866536</v>
      </c>
      <c r="X108" s="12">
        <v>0.43435513705666956</v>
      </c>
      <c r="Y108" s="12">
        <v>0.43519799437457324</v>
      </c>
      <c r="Z108" s="12">
        <v>0.43604248723997657</v>
      </c>
      <c r="AA108" s="12">
        <v>0.43688861882662616</v>
      </c>
      <c r="AB108" s="12">
        <v>0.43773639231442729</v>
      </c>
      <c r="AC108" s="12">
        <v>0.43858581088945586</v>
      </c>
      <c r="AD108" s="12">
        <v>0.43943687774397006</v>
      </c>
      <c r="AE108" s="12">
        <v>0.44028959607642287</v>
      </c>
      <c r="AF108" s="12">
        <v>0.44114396909147369</v>
      </c>
      <c r="AG108" s="12">
        <v>0.44200000000000028</v>
      </c>
    </row>
    <row r="109" spans="1:33" ht="15.75" thickBot="1" x14ac:dyDescent="0.3">
      <c r="A109" s="115"/>
      <c r="B109" s="63" t="s">
        <v>30</v>
      </c>
      <c r="C109" s="51"/>
      <c r="D109" s="92">
        <f>D90*T109</f>
        <v>36.738240000000012</v>
      </c>
      <c r="E109" s="92">
        <f t="shared" ref="E109" si="304">E90*U109</f>
        <v>39.741371832714499</v>
      </c>
      <c r="F109" s="92">
        <f t="shared" ref="F109" si="305">F90*V109</f>
        <v>42.990873156478308</v>
      </c>
      <c r="G109" s="92">
        <f t="shared" ref="G109" si="306">G90*W109</f>
        <v>46.506625454889814</v>
      </c>
      <c r="H109" s="92">
        <f t="shared" ref="H109" si="307">H90*X109</f>
        <v>50.310029518959666</v>
      </c>
      <c r="I109" s="92">
        <f t="shared" ref="I109" si="308">I90*Y109</f>
        <v>54.424105313056579</v>
      </c>
      <c r="J109" s="92">
        <f t="shared" ref="J109" si="309">J90*Z109</f>
        <v>58.873595393953373</v>
      </c>
      <c r="K109" s="92">
        <f t="shared" ref="K109" si="310">K90*AA109</f>
        <v>63.685071375433616</v>
      </c>
      <c r="L109" s="92">
        <f t="shared" ref="L109" si="311">L90*AB109</f>
        <v>68.887042757727002</v>
      </c>
      <c r="M109" s="92">
        <f t="shared" ref="M109" si="312">M90*AC109</f>
        <v>74.510067232499367</v>
      </c>
      <c r="N109" s="92">
        <f t="shared" ref="N109" si="313">N90*AD109</f>
        <v>80.586861323974517</v>
      </c>
      <c r="O109" s="92">
        <f t="shared" ref="O109" si="314">O90*AE109</f>
        <v>87.152409927703417</v>
      </c>
      <c r="P109" s="92">
        <f t="shared" ref="P109" si="315">P90*AF109</f>
        <v>94.244072952015244</v>
      </c>
      <c r="Q109" s="92">
        <f t="shared" ref="Q109" si="316">Q90*AG109</f>
        <v>101.90168684334667</v>
      </c>
      <c r="R109" s="79">
        <f>RATE(12,,-E109,Q109)</f>
        <v>8.1628718807710915E-2</v>
      </c>
      <c r="S109" s="63" t="s">
        <v>30</v>
      </c>
      <c r="T109" s="12">
        <f>1-SUM(T107:T108)</f>
        <v>0.16800000000000004</v>
      </c>
      <c r="U109" s="12">
        <f t="shared" ref="U109" si="317">1-SUM(U107:U108)</f>
        <v>0.16551274792618309</v>
      </c>
      <c r="V109" s="12">
        <f t="shared" ref="V109" si="318">1-SUM(V107:V108)</f>
        <v>0.16301707620929717</v>
      </c>
      <c r="W109" s="12">
        <f t="shared" ref="W109" si="319">1-SUM(W107:W108)</f>
        <v>0.16051295371817442</v>
      </c>
      <c r="X109" s="12">
        <f t="shared" ref="X109" si="320">1-SUM(X107:X108)</f>
        <v>0.15800034920033545</v>
      </c>
      <c r="Y109" s="12">
        <f t="shared" ref="Y109" si="321">1-SUM(Y107:Y108)</f>
        <v>0.15547923128150276</v>
      </c>
      <c r="Z109" s="12">
        <f t="shared" ref="Z109" si="322">1-SUM(Z107:Z108)</f>
        <v>0.15294956846511254</v>
      </c>
      <c r="AA109" s="12">
        <f t="shared" ref="AA109" si="323">1-SUM(AA107:AA108)</f>
        <v>0.15041132913182498</v>
      </c>
      <c r="AB109" s="12">
        <f t="shared" ref="AB109" si="324">1-SUM(AB107:AB108)</f>
        <v>0.14786448153903209</v>
      </c>
      <c r="AC109" s="12">
        <f t="shared" ref="AC109" si="325">1-SUM(AC107:AC108)</f>
        <v>0.14530899382036322</v>
      </c>
      <c r="AD109" s="12">
        <f t="shared" ref="AD109" si="326">1-SUM(AD107:AD108)</f>
        <v>0.14274483398518978</v>
      </c>
      <c r="AE109" s="12">
        <f t="shared" ref="AE109" si="327">1-SUM(AE107:AE108)</f>
        <v>0.14017196991812608</v>
      </c>
      <c r="AF109" s="12">
        <f t="shared" ref="AF109" si="328">1-SUM(AF107:AF108)</f>
        <v>0.13759036937852986</v>
      </c>
      <c r="AG109" s="12">
        <f t="shared" ref="AG109" si="329">1-SUM(AG107:AG108)</f>
        <v>0.13500000000000034</v>
      </c>
    </row>
    <row r="113" spans="1:33" ht="26.25" x14ac:dyDescent="0.4">
      <c r="A113" s="109" t="s">
        <v>59</v>
      </c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70"/>
    </row>
    <row r="114" spans="1:33" ht="24" thickBot="1" x14ac:dyDescent="0.4">
      <c r="A114" s="70"/>
      <c r="B114" s="70"/>
      <c r="C114" s="70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</row>
    <row r="115" spans="1:33" ht="15.75" x14ac:dyDescent="0.25">
      <c r="A115" s="49"/>
      <c r="B115" s="50"/>
      <c r="C115" s="100"/>
      <c r="D115" s="98">
        <v>2023</v>
      </c>
      <c r="E115" s="72">
        <v>2024</v>
      </c>
      <c r="F115" s="72">
        <v>2025</v>
      </c>
      <c r="G115" s="72">
        <v>2026</v>
      </c>
      <c r="H115" s="72">
        <v>2027</v>
      </c>
      <c r="I115" s="72">
        <v>2028</v>
      </c>
      <c r="J115" s="72">
        <v>2029</v>
      </c>
      <c r="K115" s="72">
        <v>2030</v>
      </c>
      <c r="L115" s="72">
        <v>2031</v>
      </c>
      <c r="M115" s="72">
        <v>2032</v>
      </c>
      <c r="N115" s="72">
        <v>2033</v>
      </c>
      <c r="O115" s="72">
        <v>2034</v>
      </c>
      <c r="P115" s="72">
        <v>2035</v>
      </c>
      <c r="Q115" s="72">
        <v>2036</v>
      </c>
      <c r="R115" s="73" t="s">
        <v>13</v>
      </c>
    </row>
    <row r="116" spans="1:33" ht="16.5" thickBot="1" x14ac:dyDescent="0.3">
      <c r="A116" s="26"/>
      <c r="B116" s="101"/>
      <c r="C116" s="102"/>
      <c r="D116" s="99">
        <f>'Market Analysis'!C24</f>
        <v>136.67500000000001</v>
      </c>
      <c r="E116" s="99">
        <f>'Market Analysis'!D24</f>
        <v>151.29922500000001</v>
      </c>
      <c r="F116" s="99">
        <f>'Market Analysis'!E24</f>
        <v>167.77400639372749</v>
      </c>
      <c r="G116" s="99">
        <f>'Market Analysis'!F24</f>
        <v>186.36518024439553</v>
      </c>
      <c r="H116" s="99">
        <f>'Market Analysis'!G24</f>
        <v>207.3809881309906</v>
      </c>
      <c r="I116" s="99">
        <f>'Market Analysis'!H24</f>
        <v>231.17947992823991</v>
      </c>
      <c r="J116" s="99">
        <f>'Market Analysis'!I24</f>
        <v>258.17731608422821</v>
      </c>
      <c r="K116" s="99">
        <f>'Market Analysis'!J24</f>
        <v>288.86025363683871</v>
      </c>
      <c r="L116" s="99">
        <f>'Market Analysis'!K24</f>
        <v>323.79566184126281</v>
      </c>
      <c r="M116" s="99">
        <f>'Market Analysis'!L24</f>
        <v>363.64748910520018</v>
      </c>
      <c r="N116" s="99">
        <f>'Market Analysis'!M24</f>
        <v>409.19419640296894</v>
      </c>
      <c r="O116" s="99">
        <f>'Market Analysis'!N24</f>
        <v>461.35028780873648</v>
      </c>
      <c r="P116" s="99">
        <f>'Market Analysis'!O24</f>
        <v>521.19221172313064</v>
      </c>
      <c r="Q116" s="99">
        <f>'Market Analysis'!P24</f>
        <v>589.9895836705839</v>
      </c>
      <c r="R116" s="75">
        <f>RATE(12,,-E116,Q116)</f>
        <v>0.12008411140211915</v>
      </c>
      <c r="T116" s="72">
        <v>2023</v>
      </c>
      <c r="U116" s="72">
        <v>2024</v>
      </c>
      <c r="V116" s="72">
        <v>2025</v>
      </c>
      <c r="W116" s="72">
        <v>2026</v>
      </c>
      <c r="X116" s="72">
        <v>2027</v>
      </c>
      <c r="Y116" s="72">
        <v>2028</v>
      </c>
      <c r="Z116" s="72">
        <v>2029</v>
      </c>
      <c r="AA116" s="72">
        <v>2030</v>
      </c>
      <c r="AB116" s="72">
        <v>2031</v>
      </c>
      <c r="AC116" s="72">
        <v>2032</v>
      </c>
      <c r="AD116" s="72">
        <v>2033</v>
      </c>
      <c r="AE116" s="72">
        <v>2034</v>
      </c>
      <c r="AF116" s="72">
        <v>2035</v>
      </c>
      <c r="AG116" s="72">
        <v>2036</v>
      </c>
    </row>
    <row r="117" spans="1:33" x14ac:dyDescent="0.25">
      <c r="A117" s="110" t="s">
        <v>51</v>
      </c>
      <c r="B117" s="59" t="s">
        <v>34</v>
      </c>
      <c r="C117" s="52"/>
      <c r="D117" s="86">
        <f>D116*T117</f>
        <v>76.538000000000011</v>
      </c>
      <c r="E117" s="86">
        <f t="shared" ref="E117" si="330">E116*U117</f>
        <v>84.867005435085488</v>
      </c>
      <c r="F117" s="86">
        <f t="shared" ref="F117" si="331">F116*V117</f>
        <v>94.262943687134197</v>
      </c>
      <c r="G117" s="86">
        <f t="shared" ref="G117" si="332">G116*W117</f>
        <v>104.88061949911285</v>
      </c>
      <c r="H117" s="86">
        <f t="shared" ref="H117" si="333">H116*X117</f>
        <v>116.89974329729613</v>
      </c>
      <c r="I117" s="86">
        <f t="shared" ref="I117" si="334">I116*Y117</f>
        <v>130.52931176870015</v>
      </c>
      <c r="J117" s="86">
        <f t="shared" ref="J117" si="335">J116*Z117</f>
        <v>146.01282218544713</v>
      </c>
      <c r="K117" s="86">
        <f t="shared" ref="K117" si="336">K116*AA117</f>
        <v>163.63449085351621</v>
      </c>
      <c r="L117" s="86">
        <f t="shared" ref="L117" si="337">L116*AB117</f>
        <v>183.72668321479091</v>
      </c>
      <c r="M117" s="86">
        <f t="shared" ref="M117" si="338">M116*AC117</f>
        <v>206.67880888348782</v>
      </c>
      <c r="N117" s="86">
        <f t="shared" ref="N117" si="339">N116*AD117</f>
        <v>232.94799135603509</v>
      </c>
      <c r="O117" s="86">
        <f t="shared" ref="O117" si="340">O116*AE117</f>
        <v>263.07189194511284</v>
      </c>
      <c r="P117" s="86">
        <f t="shared" ref="P117" si="341">P116*AF117</f>
        <v>297.68415399152303</v>
      </c>
      <c r="Q117" s="86">
        <f t="shared" ref="Q117" si="342">Q116*AG117</f>
        <v>337.5330408179405</v>
      </c>
      <c r="R117" s="84">
        <f>RATE(12,,-E117,Q117)</f>
        <v>0.12192747718150113</v>
      </c>
      <c r="S117" s="59" t="s">
        <v>34</v>
      </c>
      <c r="T117" s="12">
        <v>0.56000000000000005</v>
      </c>
      <c r="U117" s="12">
        <v>0.56092161367703952</v>
      </c>
      <c r="V117" s="12">
        <v>0.56184474408938223</v>
      </c>
      <c r="W117" s="12">
        <v>0.56276939373317769</v>
      </c>
      <c r="X117" s="12">
        <v>0.56369556510868446</v>
      </c>
      <c r="Y117" s="12">
        <v>0.56462326072027491</v>
      </c>
      <c r="Z117" s="12">
        <v>0.56555248307644368</v>
      </c>
      <c r="AA117" s="12">
        <v>0.56648323468981299</v>
      </c>
      <c r="AB117" s="12">
        <v>0.56741551807714108</v>
      </c>
      <c r="AC117" s="12">
        <v>0.56834933575932756</v>
      </c>
      <c r="AD117" s="12">
        <v>0.56928469026142059</v>
      </c>
      <c r="AE117" s="12">
        <v>0.57022158411262425</v>
      </c>
      <c r="AF117" s="12">
        <v>0.57116001984630527</v>
      </c>
      <c r="AG117" s="12">
        <v>0.57209999999999905</v>
      </c>
    </row>
    <row r="118" spans="1:33" ht="15.75" thickBot="1" x14ac:dyDescent="0.3">
      <c r="A118" s="111"/>
      <c r="B118" s="60" t="s">
        <v>35</v>
      </c>
      <c r="C118" s="53"/>
      <c r="D118" s="87">
        <f>D116*T118</f>
        <v>60.137</v>
      </c>
      <c r="E118" s="87">
        <f t="shared" ref="E118" si="343">E116*U118</f>
        <v>66.432219564914519</v>
      </c>
      <c r="F118" s="87">
        <f t="shared" ref="F118" si="344">F116*V118</f>
        <v>73.511062706593293</v>
      </c>
      <c r="G118" s="87">
        <f t="shared" ref="G118" si="345">G116*W118</f>
        <v>81.484560745282678</v>
      </c>
      <c r="H118" s="87">
        <f t="shared" ref="H118" si="346">H116*X118</f>
        <v>90.481244833694475</v>
      </c>
      <c r="I118" s="87">
        <f t="shared" ref="I118" si="347">I116*Y118</f>
        <v>100.65016815953975</v>
      </c>
      <c r="J118" s="87">
        <f t="shared" ref="J118" si="348">J116*Z118</f>
        <v>112.16449389878109</v>
      </c>
      <c r="K118" s="87">
        <f t="shared" ref="K118" si="349">K116*AA118</f>
        <v>125.22576278332249</v>
      </c>
      <c r="L118" s="87">
        <f t="shared" ref="L118" si="350">L116*AB118</f>
        <v>140.0689786264719</v>
      </c>
      <c r="M118" s="87">
        <f t="shared" ref="M118" si="351">M116*AC118</f>
        <v>156.96868022171236</v>
      </c>
      <c r="N118" s="87">
        <f t="shared" ref="N118" si="352">N116*AD118</f>
        <v>176.24620504693385</v>
      </c>
      <c r="O118" s="87">
        <f t="shared" ref="O118" si="353">O116*AE118</f>
        <v>198.27839586362364</v>
      </c>
      <c r="P118" s="87">
        <f t="shared" ref="P118" si="354">P116*AF118</f>
        <v>223.50805773160761</v>
      </c>
      <c r="Q118" s="87">
        <f t="shared" ref="Q118" si="355">Q116*AG118</f>
        <v>252.45654285264339</v>
      </c>
      <c r="R118" s="85">
        <f>RATE(12,,-E118,Q118)</f>
        <v>0.11767959510765016</v>
      </c>
      <c r="S118" s="60" t="s">
        <v>35</v>
      </c>
      <c r="T118" s="12">
        <f>1-T117</f>
        <v>0.43999999999999995</v>
      </c>
      <c r="U118" s="12">
        <f t="shared" ref="U118" si="356">1-U117</f>
        <v>0.43907838632296048</v>
      </c>
      <c r="V118" s="12">
        <f t="shared" ref="V118" si="357">1-V117</f>
        <v>0.43815525591061777</v>
      </c>
      <c r="W118" s="12">
        <f t="shared" ref="W118" si="358">1-W117</f>
        <v>0.43723060626682231</v>
      </c>
      <c r="X118" s="12">
        <f t="shared" ref="X118" si="359">1-X117</f>
        <v>0.43630443489131554</v>
      </c>
      <c r="Y118" s="12">
        <f t="shared" ref="Y118" si="360">1-Y117</f>
        <v>0.43537673927972509</v>
      </c>
      <c r="Z118" s="12">
        <f t="shared" ref="Z118" si="361">1-Z117</f>
        <v>0.43444751692355632</v>
      </c>
      <c r="AA118" s="12">
        <f t="shared" ref="AA118" si="362">1-AA117</f>
        <v>0.43351676531018701</v>
      </c>
      <c r="AB118" s="12">
        <f t="shared" ref="AB118" si="363">1-AB117</f>
        <v>0.43258448192285892</v>
      </c>
      <c r="AC118" s="12">
        <f t="shared" ref="AC118" si="364">1-AC117</f>
        <v>0.43165066424067244</v>
      </c>
      <c r="AD118" s="12">
        <f t="shared" ref="AD118" si="365">1-AD117</f>
        <v>0.43071530973857941</v>
      </c>
      <c r="AE118" s="12">
        <f t="shared" ref="AE118" si="366">1-AE117</f>
        <v>0.42977841588737575</v>
      </c>
      <c r="AF118" s="12">
        <f t="shared" ref="AF118" si="367">1-AF117</f>
        <v>0.42883998015369473</v>
      </c>
      <c r="AG118" s="12">
        <f t="shared" ref="AG118" si="368">1-AG117</f>
        <v>0.42790000000000095</v>
      </c>
    </row>
    <row r="119" spans="1:33" ht="15.75" thickBot="1" x14ac:dyDescent="0.3">
      <c r="A119" s="1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21"/>
    </row>
    <row r="120" spans="1:33" x14ac:dyDescent="0.25">
      <c r="A120" s="110" t="s">
        <v>15</v>
      </c>
      <c r="B120" s="64" t="s">
        <v>16</v>
      </c>
      <c r="C120" s="54"/>
      <c r="D120" s="89">
        <f>D116*T120</f>
        <v>64.373925</v>
      </c>
      <c r="E120" s="89">
        <f t="shared" ref="E120" si="369">E116*U120</f>
        <v>71.168827759615382</v>
      </c>
      <c r="F120" s="89">
        <f t="shared" ref="F120" si="370">F116*V120</f>
        <v>78.815065926653361</v>
      </c>
      <c r="G120" s="89">
        <f t="shared" ref="G120" si="371">G116*W120</f>
        <v>87.433941100812945</v>
      </c>
      <c r="H120" s="89">
        <f t="shared" ref="H120" si="372">H116*X120</f>
        <v>97.16596913122028</v>
      </c>
      <c r="I120" s="89">
        <f t="shared" ref="I120" si="373">I116*Y120</f>
        <v>108.17421356949872</v>
      </c>
      <c r="J120" s="89">
        <f t="shared" ref="J120" si="374">J116*Z120</f>
        <v>120.64824578551432</v>
      </c>
      <c r="K120" s="89">
        <f t="shared" ref="K120" si="375">K116*AA120</f>
        <v>134.80885837036155</v>
      </c>
      <c r="L120" s="89">
        <f t="shared" ref="L120" si="376">L116*AB120</f>
        <v>150.91368577663164</v>
      </c>
      <c r="M120" s="89">
        <f t="shared" ref="M120" si="377">M116*AC120</f>
        <v>169.26391973658201</v>
      </c>
      <c r="N120" s="89">
        <f t="shared" ref="N120" si="378">N116*AD120</f>
        <v>190.21234837408778</v>
      </c>
      <c r="O120" s="89">
        <f t="shared" ref="O120" si="379">O116*AE120</f>
        <v>214.1729989942865</v>
      </c>
      <c r="P120" s="89">
        <f t="shared" ref="P120" si="380">P116*AF120</f>
        <v>241.63272769656217</v>
      </c>
      <c r="Q120" s="89">
        <f t="shared" ref="Q120" si="381">Q116*AG120</f>
        <v>273.16517723948033</v>
      </c>
      <c r="R120" s="76">
        <f>RATE(12,,-E120,Q120)</f>
        <v>0.11860810111723447</v>
      </c>
      <c r="S120" s="64" t="s">
        <v>16</v>
      </c>
      <c r="T120" s="12">
        <v>0.47099999999999992</v>
      </c>
      <c r="U120" s="12">
        <v>0.47038461538461535</v>
      </c>
      <c r="V120" s="12">
        <v>0.46976923076923072</v>
      </c>
      <c r="W120" s="12">
        <v>0.46915384615384609</v>
      </c>
      <c r="X120" s="12">
        <v>0.46853846153846151</v>
      </c>
      <c r="Y120" s="12">
        <v>0.46792307692307689</v>
      </c>
      <c r="Z120" s="12">
        <v>0.46730769230769226</v>
      </c>
      <c r="AA120" s="12">
        <v>0.46669230769230763</v>
      </c>
      <c r="AB120" s="12">
        <v>0.46607692307692306</v>
      </c>
      <c r="AC120" s="12">
        <v>0.46546153846153843</v>
      </c>
      <c r="AD120" s="12">
        <v>0.4648461538461538</v>
      </c>
      <c r="AE120" s="12">
        <v>0.46423076923076922</v>
      </c>
      <c r="AF120" s="12">
        <v>0.4636153846153846</v>
      </c>
      <c r="AG120" s="12">
        <v>0.46299999999999997</v>
      </c>
    </row>
    <row r="121" spans="1:33" ht="15.75" thickBot="1" x14ac:dyDescent="0.3">
      <c r="A121" s="111"/>
      <c r="B121" s="65" t="s">
        <v>17</v>
      </c>
      <c r="C121" s="55"/>
      <c r="D121" s="90">
        <f>D116*T121</f>
        <v>72.301075000000026</v>
      </c>
      <c r="E121" s="90">
        <f t="shared" ref="E121" si="382">E116*U121</f>
        <v>80.13039724038461</v>
      </c>
      <c r="F121" s="90">
        <f t="shared" ref="F121" si="383">F116*V121</f>
        <v>88.958940467074129</v>
      </c>
      <c r="G121" s="90">
        <f t="shared" ref="G121" si="384">G116*W121</f>
        <v>98.931239143582602</v>
      </c>
      <c r="H121" s="90">
        <f t="shared" ref="H121" si="385">H116*X121</f>
        <v>110.21501899977031</v>
      </c>
      <c r="I121" s="90">
        <f t="shared" ref="I121" si="386">I116*Y121</f>
        <v>123.0052663587412</v>
      </c>
      <c r="J121" s="90">
        <f t="shared" ref="J121" si="387">J116*Z121</f>
        <v>137.52907029871389</v>
      </c>
      <c r="K121" s="90">
        <f t="shared" ref="K121" si="388">K116*AA121</f>
        <v>154.05139526647716</v>
      </c>
      <c r="L121" s="90">
        <f t="shared" ref="L121" si="389">L116*AB121</f>
        <v>172.88197606463117</v>
      </c>
      <c r="M121" s="90">
        <f t="shared" ref="M121" si="390">M116*AC121</f>
        <v>194.3835693686182</v>
      </c>
      <c r="N121" s="90">
        <f t="shared" ref="N121" si="391">N116*AD121</f>
        <v>218.98184802888116</v>
      </c>
      <c r="O121" s="90">
        <f t="shared" ref="O121" si="392">O116*AE121</f>
        <v>247.17728881444998</v>
      </c>
      <c r="P121" s="90">
        <f t="shared" ref="P121" si="393">P116*AF121</f>
        <v>279.5594840265685</v>
      </c>
      <c r="Q121" s="90">
        <f t="shared" ref="Q121" si="394">Q116*AG121</f>
        <v>316.82440643110357</v>
      </c>
      <c r="R121" s="77">
        <f>RATE(12,,-E121,Q121)</f>
        <v>0.12137734493584751</v>
      </c>
      <c r="S121" s="65" t="s">
        <v>17</v>
      </c>
      <c r="T121" s="12">
        <f>1-T120</f>
        <v>0.52900000000000014</v>
      </c>
      <c r="U121" s="12">
        <f t="shared" ref="U121" si="395">1-U120</f>
        <v>0.5296153846153846</v>
      </c>
      <c r="V121" s="12">
        <f t="shared" ref="V121" si="396">1-V120</f>
        <v>0.53023076923076928</v>
      </c>
      <c r="W121" s="12">
        <f t="shared" ref="W121" si="397">1-W120</f>
        <v>0.53084615384615397</v>
      </c>
      <c r="X121" s="12">
        <f t="shared" ref="X121" si="398">1-X120</f>
        <v>0.53146153846153843</v>
      </c>
      <c r="Y121" s="12">
        <f t="shared" ref="Y121" si="399">1-Y120</f>
        <v>0.53207692307692311</v>
      </c>
      <c r="Z121" s="12">
        <f t="shared" ref="Z121" si="400">1-Z120</f>
        <v>0.5326923076923078</v>
      </c>
      <c r="AA121" s="12">
        <f t="shared" ref="AA121" si="401">1-AA120</f>
        <v>0.53330769230769237</v>
      </c>
      <c r="AB121" s="12">
        <f t="shared" ref="AB121" si="402">1-AB120</f>
        <v>0.53392307692307694</v>
      </c>
      <c r="AC121" s="12">
        <f t="shared" ref="AC121" si="403">1-AC120</f>
        <v>0.53453846153846163</v>
      </c>
      <c r="AD121" s="12">
        <f t="shared" ref="AD121" si="404">1-AD120</f>
        <v>0.5351538461538462</v>
      </c>
      <c r="AE121" s="12">
        <f t="shared" ref="AE121" si="405">1-AE120</f>
        <v>0.53576923076923078</v>
      </c>
      <c r="AF121" s="12">
        <f t="shared" ref="AF121" si="406">1-AF120</f>
        <v>0.53638461538461546</v>
      </c>
      <c r="AG121" s="12">
        <f t="shared" ref="AG121" si="407">1-AG120</f>
        <v>0.53700000000000003</v>
      </c>
    </row>
    <row r="122" spans="1:33" ht="15.75" thickBot="1" x14ac:dyDescent="0.3">
      <c r="A122" s="1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21"/>
    </row>
    <row r="123" spans="1:33" x14ac:dyDescent="0.25">
      <c r="A123" s="110" t="s">
        <v>18</v>
      </c>
      <c r="B123" s="61" t="s">
        <v>19</v>
      </c>
      <c r="C123" s="56"/>
      <c r="D123" s="91">
        <f>D116*T123</f>
        <v>54.806674999999998</v>
      </c>
      <c r="E123" s="91">
        <f t="shared" ref="E123" si="408">E116*U123</f>
        <v>60.920769922158847</v>
      </c>
      <c r="F123" s="91">
        <f t="shared" ref="F123" si="409">F116*V123</f>
        <v>67.832474881558582</v>
      </c>
      <c r="G123" s="91">
        <f t="shared" ref="G123" si="410">G116*W123</f>
        <v>75.65925632269952</v>
      </c>
      <c r="H123" s="91">
        <f t="shared" ref="H123" si="411">H116*X123</f>
        <v>84.537722066199464</v>
      </c>
      <c r="I123" s="91">
        <f t="shared" ref="I123" si="412">I116*Y123</f>
        <v>94.627026095612635</v>
      </c>
      <c r="J123" s="91">
        <f t="shared" ref="J123" si="413">J116*Z123</f>
        <v>106.11292794735606</v>
      </c>
      <c r="K123" s="91">
        <f t="shared" ref="K123" si="414">K116*AA123</f>
        <v>119.21264170865832</v>
      </c>
      <c r="L123" s="91">
        <f t="shared" ref="L123" si="415">L116*AB123</f>
        <v>134.18063931706007</v>
      </c>
      <c r="M123" s="91">
        <f t="shared" ref="M123" si="416">M116*AC123</f>
        <v>151.31560947090327</v>
      </c>
      <c r="N123" s="91">
        <f t="shared" ref="N123" si="417">N116*AD123</f>
        <v>170.96881871145047</v>
      </c>
      <c r="O123" s="91">
        <f t="shared" ref="O123" si="418">O116*AE123</f>
        <v>193.55417727524147</v>
      </c>
      <c r="P123" s="91">
        <f t="shared" ref="P123" si="419">P116*AF123</f>
        <v>219.56038185582662</v>
      </c>
      <c r="Q123" s="91">
        <f t="shared" ref="Q123" si="420">Q116*AG123</f>
        <v>249.56559389265661</v>
      </c>
      <c r="R123" s="78">
        <f>RATE(12,,-E123,Q123)</f>
        <v>0.12469546509458904</v>
      </c>
      <c r="S123" s="61" t="s">
        <v>19</v>
      </c>
      <c r="T123" s="12">
        <v>0.40099999999999997</v>
      </c>
      <c r="U123" s="12">
        <v>0.40265090533119946</v>
      </c>
      <c r="V123" s="12">
        <v>0.40430860739160734</v>
      </c>
      <c r="W123" s="12">
        <v>0.40597313416316017</v>
      </c>
      <c r="X123" s="12">
        <v>0.40764451374299493</v>
      </c>
      <c r="Y123" s="12">
        <v>0.40932277434392395</v>
      </c>
      <c r="Z123" s="12">
        <v>0.41100794429491083</v>
      </c>
      <c r="AA123" s="12">
        <v>0.4127000520415488</v>
      </c>
      <c r="AB123" s="12">
        <v>0.41439912614654062</v>
      </c>
      <c r="AC123" s="12">
        <v>0.41610519529018092</v>
      </c>
      <c r="AD123" s="12">
        <v>0.41781828827084017</v>
      </c>
      <c r="AE123" s="12">
        <v>0.4195384340054511</v>
      </c>
      <c r="AF123" s="12">
        <v>0.4212656615299965</v>
      </c>
      <c r="AG123" s="12">
        <v>0.42299999999999938</v>
      </c>
    </row>
    <row r="124" spans="1:33" ht="15.75" thickBot="1" x14ac:dyDescent="0.3">
      <c r="A124" s="111"/>
      <c r="B124" s="63" t="s">
        <v>20</v>
      </c>
      <c r="C124" s="51"/>
      <c r="D124" s="92">
        <f>D116*T124</f>
        <v>81.868324999999999</v>
      </c>
      <c r="E124" s="92">
        <f t="shared" ref="E124" si="421">E116*U124</f>
        <v>90.378455077841153</v>
      </c>
      <c r="F124" s="92">
        <f t="shared" ref="F124" si="422">F116*V124</f>
        <v>99.941531512168908</v>
      </c>
      <c r="G124" s="92">
        <f t="shared" ref="G124" si="423">G116*W124</f>
        <v>110.70592392169601</v>
      </c>
      <c r="H124" s="92">
        <f t="shared" ref="H124" si="424">H116*X124</f>
        <v>122.84326606479114</v>
      </c>
      <c r="I124" s="92">
        <f t="shared" ref="I124" si="425">I116*Y124</f>
        <v>136.55245383262726</v>
      </c>
      <c r="J124" s="92">
        <f t="shared" ref="J124" si="426">J116*Z124</f>
        <v>152.06438813687217</v>
      </c>
      <c r="K124" s="92">
        <f t="shared" ref="K124" si="427">K116*AA124</f>
        <v>169.6476119281804</v>
      </c>
      <c r="L124" s="92">
        <f t="shared" ref="L124" si="428">L116*AB124</f>
        <v>189.61502252420274</v>
      </c>
      <c r="M124" s="92">
        <f t="shared" ref="M124" si="429">M116*AC124</f>
        <v>212.33187963429694</v>
      </c>
      <c r="N124" s="92">
        <f t="shared" ref="N124" si="430">N116*AD124</f>
        <v>238.2253776915185</v>
      </c>
      <c r="O124" s="92">
        <f t="shared" ref="O124" si="431">O116*AE124</f>
        <v>267.79611053349504</v>
      </c>
      <c r="P124" s="92">
        <f t="shared" ref="P124" si="432">P116*AF124</f>
        <v>301.63182986730396</v>
      </c>
      <c r="Q124" s="92">
        <f t="shared" ref="Q124" si="433">Q116*AG124</f>
        <v>340.42398977792726</v>
      </c>
      <c r="R124" s="79">
        <f>RATE(12,,-E124,Q124)</f>
        <v>0.1168536563585149</v>
      </c>
      <c r="S124" s="63" t="s">
        <v>20</v>
      </c>
      <c r="T124" s="12">
        <f>1-T123</f>
        <v>0.59899999999999998</v>
      </c>
      <c r="U124" s="12">
        <f t="shared" ref="U124" si="434">1-U123</f>
        <v>0.59734909466880048</v>
      </c>
      <c r="V124" s="12">
        <f t="shared" ref="V124" si="435">1-V123</f>
        <v>0.59569139260839266</v>
      </c>
      <c r="W124" s="12">
        <f t="shared" ref="W124" si="436">1-W123</f>
        <v>0.59402686583683983</v>
      </c>
      <c r="X124" s="12">
        <f t="shared" ref="X124" si="437">1-X123</f>
        <v>0.59235548625700507</v>
      </c>
      <c r="Y124" s="12">
        <f t="shared" ref="Y124" si="438">1-Y123</f>
        <v>0.59067722565607605</v>
      </c>
      <c r="Z124" s="12">
        <f t="shared" ref="Z124" si="439">1-Z123</f>
        <v>0.58899205570508917</v>
      </c>
      <c r="AA124" s="12">
        <f t="shared" ref="AA124" si="440">1-AA123</f>
        <v>0.5872999479584512</v>
      </c>
      <c r="AB124" s="12">
        <f t="shared" ref="AB124" si="441">1-AB123</f>
        <v>0.58560087385345938</v>
      </c>
      <c r="AC124" s="12">
        <f t="shared" ref="AC124" si="442">1-AC123</f>
        <v>0.58389480470981914</v>
      </c>
      <c r="AD124" s="12">
        <f t="shared" ref="AD124" si="443">1-AD123</f>
        <v>0.58218171172915989</v>
      </c>
      <c r="AE124" s="12">
        <f t="shared" ref="AE124" si="444">1-AE123</f>
        <v>0.5804615659945489</v>
      </c>
      <c r="AF124" s="12">
        <f t="shared" ref="AF124" si="445">1-AF123</f>
        <v>0.57873433847000344</v>
      </c>
      <c r="AG124" s="12">
        <f t="shared" ref="AG124" si="446">1-AG123</f>
        <v>0.57700000000000062</v>
      </c>
    </row>
    <row r="125" spans="1:33" ht="15.75" thickBot="1" x14ac:dyDescent="0.3">
      <c r="A125" s="2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21"/>
    </row>
    <row r="126" spans="1:33" x14ac:dyDescent="0.25">
      <c r="A126" s="110" t="s">
        <v>14</v>
      </c>
      <c r="B126" s="66" t="s">
        <v>21</v>
      </c>
      <c r="C126" s="57"/>
      <c r="D126" s="93">
        <f>D116*T126</f>
        <v>34.168750000000003</v>
      </c>
      <c r="E126" s="93">
        <f t="shared" ref="E126" si="447">E116*U126</f>
        <v>38.060218069122115</v>
      </c>
      <c r="F126" s="93">
        <f t="shared" ref="F126" si="448">F116*V126</f>
        <v>42.467217307424782</v>
      </c>
      <c r="G126" s="93">
        <f t="shared" ref="G126" si="449">G116*W126</f>
        <v>47.466636968829867</v>
      </c>
      <c r="H126" s="93">
        <f t="shared" ref="H126" si="450">H116*X126</f>
        <v>53.148032123485784</v>
      </c>
      <c r="I126" s="93">
        <f t="shared" ref="I126" si="451">I116*Y126</f>
        <v>59.615898240100677</v>
      </c>
      <c r="J126" s="93">
        <f t="shared" ref="J126" si="452">J116*Z126</f>
        <v>66.992386851500697</v>
      </c>
      <c r="K126" s="93">
        <f t="shared" ref="K126" si="453">K116*AA126</f>
        <v>75.420553986964421</v>
      </c>
      <c r="L126" s="93">
        <f t="shared" ref="L126" si="454">L116*AB126</f>
        <v>85.06825336266941</v>
      </c>
      <c r="M126" s="93">
        <f t="shared" ref="M126" si="455">M116*AC126</f>
        <v>96.132811399654315</v>
      </c>
      <c r="N126" s="93">
        <f t="shared" ref="N126" si="456">N116*AD126</f>
        <v>108.84665217061111</v>
      </c>
      <c r="O126" s="93">
        <f t="shared" ref="O126" si="457">O116*AE126</f>
        <v>123.48407885524074</v>
      </c>
      <c r="P126" s="93">
        <f t="shared" ref="P126" si="458">P116*AF126</f>
        <v>140.36946609535005</v>
      </c>
      <c r="Q126" s="93">
        <f t="shared" ref="Q126" si="459">Q116*AG126</f>
        <v>159.88717717472832</v>
      </c>
      <c r="R126" s="80">
        <f t="shared" ref="R126:R131" si="460">RATE(12,,-E126,Q126)</f>
        <v>0.12705522544878184</v>
      </c>
      <c r="S126" s="66" t="s">
        <v>21</v>
      </c>
      <c r="T126" s="12">
        <v>0.25</v>
      </c>
      <c r="U126" s="12">
        <v>0.25155593539307364</v>
      </c>
      <c r="V126" s="12">
        <v>0.25312155452593693</v>
      </c>
      <c r="W126" s="12">
        <v>0.25469691766768382</v>
      </c>
      <c r="X126" s="12">
        <v>0.25628208546250747</v>
      </c>
      <c r="Y126" s="12">
        <v>0.2578771189320348</v>
      </c>
      <c r="Z126" s="12">
        <v>0.25948207947767565</v>
      </c>
      <c r="AA126" s="12">
        <v>0.2610970288829863</v>
      </c>
      <c r="AB126" s="12">
        <v>0.26272202931604799</v>
      </c>
      <c r="AC126" s="12">
        <v>0.26435714333185978</v>
      </c>
      <c r="AD126" s="12">
        <v>0.26600243387474731</v>
      </c>
      <c r="AE126" s="12">
        <v>0.26765796428078514</v>
      </c>
      <c r="AF126" s="12">
        <v>0.26932379828023517</v>
      </c>
      <c r="AG126" s="12">
        <v>0.27100000000000013</v>
      </c>
    </row>
    <row r="127" spans="1:33" x14ac:dyDescent="0.25">
      <c r="A127" s="112"/>
      <c r="B127" s="67" t="s">
        <v>22</v>
      </c>
      <c r="C127" s="48"/>
      <c r="D127" s="94">
        <f>D116*T127</f>
        <v>51.936500000000002</v>
      </c>
      <c r="E127" s="94">
        <f t="shared" ref="E127" si="461">E116*U127</f>
        <v>57.631371058101408</v>
      </c>
      <c r="F127" s="94">
        <f t="shared" ref="F127" si="462">F116*V127</f>
        <v>64.05979952908875</v>
      </c>
      <c r="G127" s="94">
        <f t="shared" ref="G127" si="463">G116*W127</f>
        <v>71.328702650962555</v>
      </c>
      <c r="H127" s="94">
        <f t="shared" ref="H127" si="464">H116*X127</f>
        <v>79.562265756821404</v>
      </c>
      <c r="I127" s="94">
        <f t="shared" ref="I127" si="465">I116*Y127</f>
        <v>88.904989878868449</v>
      </c>
      <c r="J127" s="94">
        <f t="shared" ref="J127" si="466">J116*Z127</f>
        <v>99.525321175600808</v>
      </c>
      <c r="K127" s="94">
        <f t="shared" ref="K127" si="467">K116*AA127</f>
        <v>111.61998141053017</v>
      </c>
      <c r="L127" s="94">
        <f t="shared" ref="L127" si="468">L116*AB127</f>
        <v>125.41914477577623</v>
      </c>
      <c r="M127" s="94">
        <f t="shared" ref="M127" si="469">M116*AC127</f>
        <v>141.19263846741958</v>
      </c>
      <c r="N127" s="94">
        <f t="shared" ref="N127" si="470">N116*AD127</f>
        <v>159.25738406532463</v>
      </c>
      <c r="O127" s="94">
        <f t="shared" ref="O127" si="471">O116*AE127</f>
        <v>179.98634581533517</v>
      </c>
      <c r="P127" s="94">
        <f t="shared" ref="P127" si="472">P116*AF127</f>
        <v>203.81931271080668</v>
      </c>
      <c r="Q127" s="94">
        <f t="shared" ref="Q127" si="473">Q116*AG127</f>
        <v>231.27591679886891</v>
      </c>
      <c r="R127" s="81">
        <f t="shared" si="460"/>
        <v>0.1227660920287984</v>
      </c>
      <c r="S127" s="67" t="s">
        <v>22</v>
      </c>
      <c r="T127" s="12">
        <v>0.38</v>
      </c>
      <c r="U127" s="12">
        <v>0.38090988938047371</v>
      </c>
      <c r="V127" s="12">
        <v>0.38182195744169661</v>
      </c>
      <c r="W127" s="12">
        <v>0.38273620940040159</v>
      </c>
      <c r="X127" s="12">
        <v>0.38365265048581265</v>
      </c>
      <c r="Y127" s="12">
        <v>0.38457128593967477</v>
      </c>
      <c r="Z127" s="12">
        <v>0.38549212101628438</v>
      </c>
      <c r="AA127" s="12">
        <v>0.38641516098251855</v>
      </c>
      <c r="AB127" s="12">
        <v>0.38734041111786593</v>
      </c>
      <c r="AC127" s="12">
        <v>0.38826787671445667</v>
      </c>
      <c r="AD127" s="12">
        <v>0.38919756307709236</v>
      </c>
      <c r="AE127" s="12">
        <v>0.39012947552327681</v>
      </c>
      <c r="AF127" s="12">
        <v>0.3910636193832463</v>
      </c>
      <c r="AG127" s="12">
        <v>0.39200000000000002</v>
      </c>
    </row>
    <row r="128" spans="1:33" x14ac:dyDescent="0.25">
      <c r="A128" s="112"/>
      <c r="B128" s="68" t="s">
        <v>23</v>
      </c>
      <c r="C128" s="48"/>
      <c r="D128" s="95">
        <f>D127*T128</f>
        <v>18.177774999999993</v>
      </c>
      <c r="E128" s="95">
        <f t="shared" ref="E128" si="474">E127*U128</f>
        <v>20.135587515870689</v>
      </c>
      <c r="F128" s="95">
        <f t="shared" ref="F128" si="475">F127*V128</f>
        <v>22.342318549970376</v>
      </c>
      <c r="G128" s="95">
        <f t="shared" ref="G128" si="476">G127*W128</f>
        <v>24.833864051202475</v>
      </c>
      <c r="H128" s="95">
        <f t="shared" ref="H128" si="477">H127*X128</f>
        <v>27.651864919639092</v>
      </c>
      <c r="I128" s="95">
        <f t="shared" ref="I128" si="478">I127*Y128</f>
        <v>30.844712823169647</v>
      </c>
      <c r="J128" s="95">
        <f t="shared" ref="J128" si="479">J127*Z128</f>
        <v>34.468746659645632</v>
      </c>
      <c r="K128" s="95">
        <f t="shared" ref="K128" si="480">K127*AA128</f>
        <v>38.58967847689707</v>
      </c>
      <c r="L128" s="95">
        <f t="shared" ref="L128" si="481">L127*AB128</f>
        <v>43.284296096922752</v>
      </c>
      <c r="M128" s="95">
        <f t="shared" ref="M128" si="482">M127*AC128</f>
        <v>48.642500070704756</v>
      </c>
      <c r="N128" s="95">
        <f t="shared" ref="N128" si="483">N127*AD128</f>
        <v>54.769745391389684</v>
      </c>
      <c r="O128" s="95">
        <f t="shared" ref="O128" si="484">O127*AE128</f>
        <v>61.78997421304215</v>
      </c>
      <c r="P128" s="95">
        <f t="shared" ref="P128" si="485">P127*AF128</f>
        <v>69.849145411932156</v>
      </c>
      <c r="Q128" s="95">
        <f t="shared" ref="Q128" si="486">Q127*AG128</f>
        <v>79.119491136893004</v>
      </c>
      <c r="R128" s="81">
        <f t="shared" si="460"/>
        <v>0.12079606698476671</v>
      </c>
      <c r="S128" s="68" t="s">
        <v>23</v>
      </c>
      <c r="T128" s="74">
        <v>0.34999999999999987</v>
      </c>
      <c r="U128" s="74">
        <v>0.34938588387166564</v>
      </c>
      <c r="V128" s="74">
        <v>0.34877284528224306</v>
      </c>
      <c r="W128" s="74">
        <v>0.34816088234106346</v>
      </c>
      <c r="X128" s="74">
        <v>0.34754999316077562</v>
      </c>
      <c r="Y128" s="74">
        <v>0.34694017585733994</v>
      </c>
      <c r="Z128" s="74">
        <v>0.34633142855002247</v>
      </c>
      <c r="AA128" s="74">
        <v>0.34572374936138933</v>
      </c>
      <c r="AB128" s="74">
        <v>0.34511713641730069</v>
      </c>
      <c r="AC128" s="74">
        <v>0.34451158784690528</v>
      </c>
      <c r="AD128" s="74">
        <v>0.34390710178263434</v>
      </c>
      <c r="AE128" s="74">
        <v>0.34330367636019604</v>
      </c>
      <c r="AF128" s="74">
        <v>0.34270130971856966</v>
      </c>
      <c r="AG128" s="74">
        <v>0.34209999999999979</v>
      </c>
    </row>
    <row r="129" spans="1:33" x14ac:dyDescent="0.25">
      <c r="A129" s="112"/>
      <c r="B129" s="68" t="s">
        <v>24</v>
      </c>
      <c r="C129" s="48"/>
      <c r="D129" s="95">
        <f>D127*T129</f>
        <v>14.542220000000002</v>
      </c>
      <c r="E129" s="95">
        <f t="shared" ref="E129" si="487">E127*U129</f>
        <v>16.193215860804152</v>
      </c>
      <c r="F129" s="95">
        <f t="shared" ref="F129" si="488">F127*V129</f>
        <v>18.062416442455731</v>
      </c>
      <c r="G129" s="95">
        <f t="shared" ref="G129" si="489">G127*W129</f>
        <v>20.182303047777808</v>
      </c>
      <c r="H129" s="95">
        <f t="shared" ref="H129" si="490">H127*X129</f>
        <v>22.590698667079845</v>
      </c>
      <c r="I129" s="95">
        <f t="shared" ref="I129" si="491">I127*Y129</f>
        <v>25.331725854726368</v>
      </c>
      <c r="J129" s="95">
        <f t="shared" ref="J129" si="492">J127*Z129</f>
        <v>28.456950110644968</v>
      </c>
      <c r="K129" s="95">
        <f t="shared" ref="K129" si="493">K127*AA129</f>
        <v>32.026747279493556</v>
      </c>
      <c r="L129" s="95">
        <f t="shared" ref="L129" si="494">L127*AB129</f>
        <v>36.111942001280909</v>
      </c>
      <c r="M129" s="95">
        <f t="shared" ref="M129" si="495">M127*AC129</f>
        <v>40.795774767843852</v>
      </c>
      <c r="N129" s="95">
        <f t="shared" ref="N129" si="496">N127*AD129</f>
        <v>46.176268155358812</v>
      </c>
      <c r="O129" s="95">
        <f t="shared" ref="O129" si="497">O127*AE129</f>
        <v>52.369078938959888</v>
      </c>
      <c r="P129" s="95">
        <f t="shared" ref="P129" si="498">P127*AF129</f>
        <v>59.510942841251833</v>
      </c>
      <c r="Q129" s="95">
        <f t="shared" ref="Q129" si="499">Q127*AG129</f>
        <v>67.763843622068507</v>
      </c>
      <c r="R129" s="81">
        <f t="shared" si="460"/>
        <v>0.12669251855041713</v>
      </c>
      <c r="S129" s="68" t="s">
        <v>24</v>
      </c>
      <c r="T129" s="74">
        <v>0.28000000000000003</v>
      </c>
      <c r="U129" s="74">
        <v>0.28097918830490543</v>
      </c>
      <c r="V129" s="74">
        <v>0.28196180093029821</v>
      </c>
      <c r="W129" s="74">
        <v>0.28294784985137333</v>
      </c>
      <c r="X129" s="74">
        <v>0.28393734708520407</v>
      </c>
      <c r="Y129" s="74">
        <v>0.28493030469088876</v>
      </c>
      <c r="Z129" s="74">
        <v>0.28592673476969749</v>
      </c>
      <c r="AA129" s="74">
        <v>0.28692664946521995</v>
      </c>
      <c r="AB129" s="74">
        <v>0.28793006096351298</v>
      </c>
      <c r="AC129" s="74">
        <v>0.28893698149324931</v>
      </c>
      <c r="AD129" s="74">
        <v>0.28994742332586665</v>
      </c>
      <c r="AE129" s="74">
        <v>0.29096139877571725</v>
      </c>
      <c r="AF129" s="74">
        <v>0.29197892020021765</v>
      </c>
      <c r="AG129" s="74">
        <v>0.29299999999999965</v>
      </c>
    </row>
    <row r="130" spans="1:33" x14ac:dyDescent="0.25">
      <c r="A130" s="112"/>
      <c r="B130" s="68" t="s">
        <v>25</v>
      </c>
      <c r="C130" s="48"/>
      <c r="D130" s="95">
        <f>D127*T130</f>
        <v>19.216505000000005</v>
      </c>
      <c r="E130" s="95">
        <f t="shared" ref="E130" si="500">E127*U130</f>
        <v>21.30256768142657</v>
      </c>
      <c r="F130" s="95">
        <f t="shared" ref="F130" si="501">F127*V130</f>
        <v>23.655064536662639</v>
      </c>
      <c r="G130" s="95">
        <f t="shared" ref="G130" si="502">G127*W130</f>
        <v>26.312535551982272</v>
      </c>
      <c r="H130" s="95">
        <f t="shared" ref="H130" si="503">H127*X130</f>
        <v>29.319702170102463</v>
      </c>
      <c r="I130" s="95">
        <f t="shared" ref="I130" si="504">I127*Y130</f>
        <v>32.728551200972433</v>
      </c>
      <c r="J130" s="95">
        <f t="shared" ref="J130" si="505">J127*Z130</f>
        <v>36.599624405310209</v>
      </c>
      <c r="K130" s="95">
        <f t="shared" ref="K130" si="506">K127*AA130</f>
        <v>41.003555654139554</v>
      </c>
      <c r="L130" s="95">
        <f t="shared" ref="L130" si="507">L127*AB130</f>
        <v>46.022906677572578</v>
      </c>
      <c r="M130" s="95">
        <f t="shared" ref="M130" si="508">M127*AC130</f>
        <v>51.754363628870969</v>
      </c>
      <c r="N130" s="95">
        <f t="shared" ref="N130" si="509">N127*AD130</f>
        <v>58.311370518576126</v>
      </c>
      <c r="O130" s="95">
        <f t="shared" ref="O130" si="510">O127*AE130</f>
        <v>65.827292663333125</v>
      </c>
      <c r="P130" s="95">
        <f t="shared" ref="P130" si="511">P127*AF130</f>
        <v>74.459224457622696</v>
      </c>
      <c r="Q130" s="95">
        <f t="shared" ref="Q130" si="512">Q127*AG130</f>
        <v>84.392582039907396</v>
      </c>
      <c r="R130" s="81">
        <f t="shared" si="460"/>
        <v>0.12156046857405325</v>
      </c>
      <c r="S130" s="68" t="s">
        <v>25</v>
      </c>
      <c r="T130" s="74">
        <f>1-SUM(T128:T129)</f>
        <v>0.37000000000000011</v>
      </c>
      <c r="U130" s="74">
        <f t="shared" ref="U130" si="513">1-SUM(U128:U129)</f>
        <v>0.36963492782342899</v>
      </c>
      <c r="V130" s="74">
        <f t="shared" ref="V130" si="514">1-SUM(V128:V129)</f>
        <v>0.36926535378745873</v>
      </c>
      <c r="W130" s="74">
        <f t="shared" ref="W130" si="515">1-SUM(W128:W129)</f>
        <v>0.36889126780756321</v>
      </c>
      <c r="X130" s="74">
        <f t="shared" ref="X130" si="516">1-SUM(X128:X129)</f>
        <v>0.36851265975402026</v>
      </c>
      <c r="Y130" s="74">
        <f t="shared" ref="Y130" si="517">1-SUM(Y128:Y129)</f>
        <v>0.3681295194517713</v>
      </c>
      <c r="Z130" s="74">
        <f t="shared" ref="Z130" si="518">1-SUM(Z128:Z129)</f>
        <v>0.36774183668028004</v>
      </c>
      <c r="AA130" s="74">
        <f t="shared" ref="AA130" si="519">1-SUM(AA128:AA129)</f>
        <v>0.36734960117339077</v>
      </c>
      <c r="AB130" s="74">
        <f t="shared" ref="AB130" si="520">1-SUM(AB128:AB129)</f>
        <v>0.36695280261918639</v>
      </c>
      <c r="AC130" s="74">
        <f t="shared" ref="AC130" si="521">1-SUM(AC128:AC129)</f>
        <v>0.36655143065984541</v>
      </c>
      <c r="AD130" s="74">
        <f t="shared" ref="AD130" si="522">1-SUM(AD128:AD129)</f>
        <v>0.36614547489149896</v>
      </c>
      <c r="AE130" s="74">
        <f t="shared" ref="AE130" si="523">1-SUM(AE128:AE129)</f>
        <v>0.36573492486408665</v>
      </c>
      <c r="AF130" s="74">
        <f t="shared" ref="AF130" si="524">1-SUM(AF128:AF129)</f>
        <v>0.36531977008121275</v>
      </c>
      <c r="AG130" s="74">
        <f t="shared" ref="AG130" si="525">1-SUM(AG128:AG129)</f>
        <v>0.36490000000000056</v>
      </c>
    </row>
    <row r="131" spans="1:33" ht="15.75" thickBot="1" x14ac:dyDescent="0.3">
      <c r="A131" s="111"/>
      <c r="B131" s="69" t="s">
        <v>26</v>
      </c>
      <c r="C131" s="58"/>
      <c r="D131" s="96">
        <f>D116*T131</f>
        <v>50.569750000000006</v>
      </c>
      <c r="E131" s="96">
        <f t="shared" ref="E131" si="526">E116*U131</f>
        <v>55.607635872776498</v>
      </c>
      <c r="F131" s="96">
        <f t="shared" ref="F131" si="527">F116*V131</f>
        <v>61.246989557213951</v>
      </c>
      <c r="G131" s="96">
        <f t="shared" ref="G131" si="528">G116*W131</f>
        <v>67.569840624603117</v>
      </c>
      <c r="H131" s="96">
        <f t="shared" ref="H131" si="529">H116*X131</f>
        <v>74.670690250683435</v>
      </c>
      <c r="I131" s="96">
        <f t="shared" ref="I131" si="530">I116*Y131</f>
        <v>82.658591809270774</v>
      </c>
      <c r="J131" s="96">
        <f t="shared" ref="J131" si="531">J116*Z131</f>
        <v>91.659608057126704</v>
      </c>
      <c r="K131" s="96">
        <f t="shared" ref="K131" si="532">K116*AA131</f>
        <v>101.81971823934411</v>
      </c>
      <c r="L131" s="96">
        <f t="shared" ref="L131" si="533">L116*AB131</f>
        <v>113.30826370281717</v>
      </c>
      <c r="M131" s="96">
        <f t="shared" ref="M131" si="534">M116*AC131</f>
        <v>126.32203923812629</v>
      </c>
      <c r="N131" s="96">
        <f t="shared" ref="N131" si="535">N116*AD131</f>
        <v>141.09016016703322</v>
      </c>
      <c r="O131" s="96">
        <f t="shared" ref="O131" si="536">O116*AE131</f>
        <v>157.87986313816057</v>
      </c>
      <c r="P131" s="96">
        <f t="shared" ref="P131" si="537">P116*AF131</f>
        <v>177.00343291697394</v>
      </c>
      <c r="Q131" s="96">
        <f t="shared" ref="Q131" si="538">Q116*AG131</f>
        <v>198.8264896969867</v>
      </c>
      <c r="R131" s="82">
        <f t="shared" si="460"/>
        <v>0.11201757490131395</v>
      </c>
      <c r="S131" s="69" t="s">
        <v>26</v>
      </c>
      <c r="T131" s="12">
        <f>1-SUM(T126+T127)</f>
        <v>0.37</v>
      </c>
      <c r="U131" s="12">
        <f t="shared" ref="U131:AG131" si="539">1-SUM(U126+U127)</f>
        <v>0.36753417522645271</v>
      </c>
      <c r="V131" s="12">
        <f t="shared" si="539"/>
        <v>0.36505648803236646</v>
      </c>
      <c r="W131" s="12">
        <f t="shared" si="539"/>
        <v>0.36256687293191459</v>
      </c>
      <c r="X131" s="12">
        <f t="shared" si="539"/>
        <v>0.36006526405167993</v>
      </c>
      <c r="Y131" s="12">
        <f t="shared" si="539"/>
        <v>0.35755159512829038</v>
      </c>
      <c r="Z131" s="12">
        <f t="shared" si="539"/>
        <v>0.35502579950603996</v>
      </c>
      <c r="AA131" s="12">
        <f t="shared" si="539"/>
        <v>0.35248781013449515</v>
      </c>
      <c r="AB131" s="12">
        <f t="shared" si="539"/>
        <v>0.34993755956608608</v>
      </c>
      <c r="AC131" s="12">
        <f t="shared" si="539"/>
        <v>0.3473749799536836</v>
      </c>
      <c r="AD131" s="12">
        <f t="shared" si="539"/>
        <v>0.34480000304816039</v>
      </c>
      <c r="AE131" s="12">
        <f t="shared" si="539"/>
        <v>0.34221256019593804</v>
      </c>
      <c r="AF131" s="12">
        <f t="shared" si="539"/>
        <v>0.33961258233651859</v>
      </c>
      <c r="AG131" s="12">
        <f t="shared" si="539"/>
        <v>0.33699999999999986</v>
      </c>
    </row>
    <row r="132" spans="1:33" ht="15.75" thickBot="1" x14ac:dyDescent="0.3">
      <c r="A132" s="2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21"/>
    </row>
    <row r="133" spans="1:33" x14ac:dyDescent="0.25">
      <c r="A133" s="113" t="s">
        <v>27</v>
      </c>
      <c r="B133" s="61" t="s">
        <v>28</v>
      </c>
      <c r="C133" s="56"/>
      <c r="D133" s="91">
        <f>D116*T133</f>
        <v>54.806674999999998</v>
      </c>
      <c r="E133" s="91">
        <f t="shared" ref="E133" si="540">E116*U133</f>
        <v>60.920769922158847</v>
      </c>
      <c r="F133" s="91">
        <f t="shared" ref="F133" si="541">F116*V133</f>
        <v>67.832474881558582</v>
      </c>
      <c r="G133" s="91">
        <f t="shared" ref="G133" si="542">G116*W133</f>
        <v>75.65925632269952</v>
      </c>
      <c r="H133" s="91">
        <f t="shared" ref="H133" si="543">H116*X133</f>
        <v>84.537722066199464</v>
      </c>
      <c r="I133" s="91">
        <f t="shared" ref="I133" si="544">I116*Y133</f>
        <v>94.627026095612635</v>
      </c>
      <c r="J133" s="91">
        <f t="shared" ref="J133" si="545">J116*Z133</f>
        <v>106.11292794735606</v>
      </c>
      <c r="K133" s="91">
        <f t="shared" ref="K133" si="546">K116*AA133</f>
        <v>119.21264170865832</v>
      </c>
      <c r="L133" s="91">
        <f t="shared" ref="L133" si="547">L116*AB133</f>
        <v>134.18063931706007</v>
      </c>
      <c r="M133" s="91">
        <f t="shared" ref="M133" si="548">M116*AC133</f>
        <v>151.31560947090327</v>
      </c>
      <c r="N133" s="91">
        <f t="shared" ref="N133" si="549">N116*AD133</f>
        <v>170.96881871145047</v>
      </c>
      <c r="O133" s="91">
        <f t="shared" ref="O133" si="550">O116*AE133</f>
        <v>193.55417727524147</v>
      </c>
      <c r="P133" s="91">
        <f t="shared" ref="P133" si="551">P116*AF133</f>
        <v>219.56038185582662</v>
      </c>
      <c r="Q133" s="91">
        <f t="shared" ref="Q133" si="552">Q116*AG133</f>
        <v>249.56559389265661</v>
      </c>
      <c r="R133" s="78">
        <f>RATE(12,,-E133,Q133)</f>
        <v>0.12469546509458904</v>
      </c>
      <c r="S133" s="61" t="s">
        <v>28</v>
      </c>
      <c r="T133" s="12">
        <v>0.40099999999999997</v>
      </c>
      <c r="U133" s="12">
        <v>0.40265090533119946</v>
      </c>
      <c r="V133" s="12">
        <v>0.40430860739160734</v>
      </c>
      <c r="W133" s="12">
        <v>0.40597313416316017</v>
      </c>
      <c r="X133" s="12">
        <v>0.40764451374299493</v>
      </c>
      <c r="Y133" s="12">
        <v>0.40932277434392395</v>
      </c>
      <c r="Z133" s="12">
        <v>0.41100794429491083</v>
      </c>
      <c r="AA133" s="12">
        <v>0.4127000520415488</v>
      </c>
      <c r="AB133" s="12">
        <v>0.41439912614654062</v>
      </c>
      <c r="AC133" s="12">
        <v>0.41610519529018092</v>
      </c>
      <c r="AD133" s="12">
        <v>0.41781828827084017</v>
      </c>
      <c r="AE133" s="12">
        <v>0.4195384340054511</v>
      </c>
      <c r="AF133" s="12">
        <v>0.4212656615299965</v>
      </c>
      <c r="AG133" s="12">
        <v>0.42299999999999938</v>
      </c>
    </row>
    <row r="134" spans="1:33" x14ac:dyDescent="0.25">
      <c r="A134" s="114"/>
      <c r="B134" s="62" t="s">
        <v>29</v>
      </c>
      <c r="C134" s="47"/>
      <c r="D134" s="97">
        <f>D116*T134</f>
        <v>58.906925000000001</v>
      </c>
      <c r="E134" s="97">
        <f t="shared" ref="E134" si="553">E116*U134</f>
        <v>65.3365045889893</v>
      </c>
      <c r="F134" s="97">
        <f t="shared" ref="F134" si="554">F116*V134</f>
        <v>72.591503525943523</v>
      </c>
      <c r="G134" s="97">
        <f t="shared" ref="G134" si="555">G116*W134</f>
        <v>80.791898370448109</v>
      </c>
      <c r="H134" s="97">
        <f t="shared" ref="H134" si="556">H116*X134</f>
        <v>90.07699752258398</v>
      </c>
      <c r="I134" s="97">
        <f t="shared" ref="I134" si="557">I116*Y134</f>
        <v>100.60884600532692</v>
      </c>
      <c r="J134" s="97">
        <f t="shared" ref="J134" si="558">J116*Z134</f>
        <v>112.57627905430847</v>
      </c>
      <c r="K134" s="97">
        <f t="shared" ref="K134" si="559">K116*AA134</f>
        <v>126.19975724530738</v>
      </c>
      <c r="L134" s="97">
        <f t="shared" ref="L134" si="560">L116*AB134</f>
        <v>141.73714486145664</v>
      </c>
      <c r="M134" s="97">
        <f t="shared" ref="M134" si="561">M116*AC134</f>
        <v>159.49062888711879</v>
      </c>
      <c r="N134" s="97">
        <f t="shared" ref="N134" si="562">N116*AD134</f>
        <v>179.81502005827355</v>
      </c>
      <c r="O134" s="97">
        <f t="shared" ref="O134" si="563">O116*AE134</f>
        <v>203.12773186905002</v>
      </c>
      <c r="P134" s="97">
        <f t="shared" ref="P134" si="564">P116*AF134</f>
        <v>229.92080093910556</v>
      </c>
      <c r="Q134" s="97">
        <f t="shared" ref="Q134" si="565">Q116*AG134</f>
        <v>260.77539598239827</v>
      </c>
      <c r="R134" s="83">
        <f>RATE(12,,-E134,Q134)</f>
        <v>0.12225761186146762</v>
      </c>
      <c r="S134" s="62" t="s">
        <v>29</v>
      </c>
      <c r="T134" s="12">
        <v>0.43099999999999999</v>
      </c>
      <c r="U134" s="12">
        <v>0.43183634674261745</v>
      </c>
      <c r="V134" s="12">
        <v>0.43267431639909548</v>
      </c>
      <c r="W134" s="12">
        <v>0.43351391211866536</v>
      </c>
      <c r="X134" s="12">
        <v>0.43435513705666956</v>
      </c>
      <c r="Y134" s="12">
        <v>0.43519799437457324</v>
      </c>
      <c r="Z134" s="12">
        <v>0.43604248723997657</v>
      </c>
      <c r="AA134" s="12">
        <v>0.43688861882662616</v>
      </c>
      <c r="AB134" s="12">
        <v>0.43773639231442729</v>
      </c>
      <c r="AC134" s="12">
        <v>0.43858581088945586</v>
      </c>
      <c r="AD134" s="12">
        <v>0.43943687774397006</v>
      </c>
      <c r="AE134" s="12">
        <v>0.44028959607642287</v>
      </c>
      <c r="AF134" s="12">
        <v>0.44114396909147369</v>
      </c>
      <c r="AG134" s="12">
        <v>0.44200000000000028</v>
      </c>
    </row>
    <row r="135" spans="1:33" ht="15.75" thickBot="1" x14ac:dyDescent="0.3">
      <c r="A135" s="115"/>
      <c r="B135" s="63" t="s">
        <v>30</v>
      </c>
      <c r="C135" s="51"/>
      <c r="D135" s="92">
        <f>D116*T135</f>
        <v>22.961400000000008</v>
      </c>
      <c r="E135" s="92">
        <f t="shared" ref="E135" si="566">E116*U135</f>
        <v>25.04195048885186</v>
      </c>
      <c r="F135" s="92">
        <f t="shared" ref="F135" si="567">F116*V135</f>
        <v>27.350027986225385</v>
      </c>
      <c r="G135" s="92">
        <f t="shared" ref="G135" si="568">G116*W135</f>
        <v>29.914025551247896</v>
      </c>
      <c r="H135" s="92">
        <f t="shared" ref="H135" si="569">H116*X135</f>
        <v>32.766268542207136</v>
      </c>
      <c r="I135" s="92">
        <f t="shared" ref="I135" si="570">I116*Y135</f>
        <v>35.94360782730034</v>
      </c>
      <c r="J135" s="92">
        <f t="shared" ref="J135" si="571">J116*Z135</f>
        <v>39.48810908256366</v>
      </c>
      <c r="K135" s="92">
        <f t="shared" ref="K135" si="572">K116*AA135</f>
        <v>43.447854682872993</v>
      </c>
      <c r="L135" s="92">
        <f t="shared" ref="L135" si="573">L116*AB135</f>
        <v>47.87787766274608</v>
      </c>
      <c r="M135" s="92">
        <f t="shared" ref="M135" si="574">M116*AC135</f>
        <v>52.841250747178137</v>
      </c>
      <c r="N135" s="92">
        <f t="shared" ref="N135" si="575">N116*AD135</f>
        <v>58.410357633244942</v>
      </c>
      <c r="O135" s="92">
        <f t="shared" ref="O135" si="576">O116*AE135</f>
        <v>64.668378664445015</v>
      </c>
      <c r="P135" s="92">
        <f t="shared" ref="P135" si="577">P116*AF135</f>
        <v>71.711028928198488</v>
      </c>
      <c r="Q135" s="92">
        <f t="shared" ref="Q135" si="578">Q116*AG135</f>
        <v>79.648593795529024</v>
      </c>
      <c r="R135" s="79">
        <f>RATE(12,,-E135,Q135)</f>
        <v>0.10122441129118778</v>
      </c>
      <c r="S135" s="63" t="s">
        <v>30</v>
      </c>
      <c r="T135" s="12">
        <f>1-SUM(T133:T134)</f>
        <v>0.16800000000000004</v>
      </c>
      <c r="U135" s="12">
        <f t="shared" ref="U135" si="579">1-SUM(U133:U134)</f>
        <v>0.16551274792618309</v>
      </c>
      <c r="V135" s="12">
        <f t="shared" ref="V135" si="580">1-SUM(V133:V134)</f>
        <v>0.16301707620929717</v>
      </c>
      <c r="W135" s="12">
        <f t="shared" ref="W135" si="581">1-SUM(W133:W134)</f>
        <v>0.16051295371817442</v>
      </c>
      <c r="X135" s="12">
        <f t="shared" ref="X135" si="582">1-SUM(X133:X134)</f>
        <v>0.15800034920033545</v>
      </c>
      <c r="Y135" s="12">
        <f t="shared" ref="Y135" si="583">1-SUM(Y133:Y134)</f>
        <v>0.15547923128150276</v>
      </c>
      <c r="Z135" s="12">
        <f t="shared" ref="Z135" si="584">1-SUM(Z133:Z134)</f>
        <v>0.15294956846511254</v>
      </c>
      <c r="AA135" s="12">
        <f t="shared" ref="AA135" si="585">1-SUM(AA133:AA134)</f>
        <v>0.15041132913182498</v>
      </c>
      <c r="AB135" s="12">
        <f t="shared" ref="AB135" si="586">1-SUM(AB133:AB134)</f>
        <v>0.14786448153903209</v>
      </c>
      <c r="AC135" s="12">
        <f t="shared" ref="AC135" si="587">1-SUM(AC133:AC134)</f>
        <v>0.14530899382036322</v>
      </c>
      <c r="AD135" s="12">
        <f t="shared" ref="AD135" si="588">1-SUM(AD133:AD134)</f>
        <v>0.14274483398518978</v>
      </c>
      <c r="AE135" s="12">
        <f t="shared" ref="AE135" si="589">1-SUM(AE133:AE134)</f>
        <v>0.14017196991812608</v>
      </c>
      <c r="AF135" s="12">
        <f t="shared" ref="AF135" si="590">1-SUM(AF133:AF134)</f>
        <v>0.13759036937852986</v>
      </c>
      <c r="AG135" s="12">
        <f t="shared" ref="AG135" si="591">1-SUM(AG133:AG134)</f>
        <v>0.13500000000000034</v>
      </c>
    </row>
    <row r="139" spans="1:33" ht="26.25" x14ac:dyDescent="0.4">
      <c r="A139" s="109" t="s">
        <v>60</v>
      </c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70"/>
    </row>
    <row r="140" spans="1:33" ht="24" thickBot="1" x14ac:dyDescent="0.4">
      <c r="A140" s="70"/>
      <c r="B140" s="70"/>
      <c r="C140" s="70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</row>
    <row r="141" spans="1:33" ht="15.75" x14ac:dyDescent="0.25">
      <c r="A141" s="49"/>
      <c r="B141" s="50"/>
      <c r="C141" s="100"/>
      <c r="D141" s="98">
        <v>2023</v>
      </c>
      <c r="E141" s="72">
        <v>2024</v>
      </c>
      <c r="F141" s="72">
        <v>2025</v>
      </c>
      <c r="G141" s="72">
        <v>2026</v>
      </c>
      <c r="H141" s="72">
        <v>2027</v>
      </c>
      <c r="I141" s="72">
        <v>2028</v>
      </c>
      <c r="J141" s="72">
        <v>2029</v>
      </c>
      <c r="K141" s="72">
        <v>2030</v>
      </c>
      <c r="L141" s="72">
        <v>2031</v>
      </c>
      <c r="M141" s="72">
        <v>2032</v>
      </c>
      <c r="N141" s="72">
        <v>2033</v>
      </c>
      <c r="O141" s="72">
        <v>2034</v>
      </c>
      <c r="P141" s="72">
        <v>2035</v>
      </c>
      <c r="Q141" s="72">
        <v>2036</v>
      </c>
      <c r="R141" s="73" t="s">
        <v>13</v>
      </c>
    </row>
    <row r="142" spans="1:33" ht="16.5" thickBot="1" x14ac:dyDescent="0.3">
      <c r="A142" s="26"/>
      <c r="B142" s="101"/>
      <c r="C142" s="102"/>
      <c r="D142" s="99">
        <f>'Market Analysis'!C28</f>
        <v>57.403500000000001</v>
      </c>
      <c r="E142" s="99">
        <f>'Market Analysis'!D28</f>
        <v>60.618096000000001</v>
      </c>
      <c r="F142" s="99">
        <f>'Market Analysis'!E28</f>
        <v>64.041624571715388</v>
      </c>
      <c r="G142" s="99">
        <f>'Market Analysis'!F28</f>
        <v>67.689312235340381</v>
      </c>
      <c r="H142" s="99">
        <f>'Market Analysis'!G28</f>
        <v>71.577605777571435</v>
      </c>
      <c r="I142" s="99">
        <f>'Market Analysis'!H28</f>
        <v>75.724278392448014</v>
      </c>
      <c r="J142" s="99">
        <f>'Market Analysis'!I28</f>
        <v>80.148545747473975</v>
      </c>
      <c r="K142" s="99">
        <f>'Market Analysis'!J28</f>
        <v>84.871192965531876</v>
      </c>
      <c r="L142" s="99">
        <f>'Market Analysis'!K28</f>
        <v>89.914713617986109</v>
      </c>
      <c r="M142" s="99">
        <f>'Market Analysis'!L28</f>
        <v>95.303461940982558</v>
      </c>
      <c r="N142" s="99">
        <f>'Market Analysis'!M28</f>
        <v>101.06381961667194</v>
      </c>
      <c r="O142" s="99">
        <f>'Market Analysis'!N28</f>
        <v>107.22437860546042</v>
      </c>
      <c r="P142" s="99">
        <f>'Market Analysis'!O28</f>
        <v>113.81614167616566</v>
      </c>
      <c r="Q142" s="99">
        <f>'Market Analysis'!P28</f>
        <v>120.87274246008793</v>
      </c>
      <c r="R142" s="75">
        <f>RATE(12,,-E142,Q142)</f>
        <v>5.919805285524557E-2</v>
      </c>
      <c r="T142" s="72">
        <v>2023</v>
      </c>
      <c r="U142" s="72">
        <v>2024</v>
      </c>
      <c r="V142" s="72">
        <v>2025</v>
      </c>
      <c r="W142" s="72">
        <v>2026</v>
      </c>
      <c r="X142" s="72">
        <v>2027</v>
      </c>
      <c r="Y142" s="72">
        <v>2028</v>
      </c>
      <c r="Z142" s="72">
        <v>2029</v>
      </c>
      <c r="AA142" s="72">
        <v>2030</v>
      </c>
      <c r="AB142" s="72">
        <v>2031</v>
      </c>
      <c r="AC142" s="72">
        <v>2032</v>
      </c>
      <c r="AD142" s="72">
        <v>2033</v>
      </c>
      <c r="AE142" s="72">
        <v>2034</v>
      </c>
      <c r="AF142" s="72">
        <v>2035</v>
      </c>
      <c r="AG142" s="72">
        <v>2036</v>
      </c>
    </row>
    <row r="143" spans="1:33" x14ac:dyDescent="0.25">
      <c r="A143" s="110" t="s">
        <v>51</v>
      </c>
      <c r="B143" s="59" t="s">
        <v>34</v>
      </c>
      <c r="C143" s="52"/>
      <c r="D143" s="86">
        <f>D142*T143</f>
        <v>32.145960000000002</v>
      </c>
      <c r="E143" s="86">
        <f t="shared" ref="E143" si="592">E142*U143</f>
        <v>34.002000226349693</v>
      </c>
      <c r="F143" s="86">
        <f t="shared" ref="F143" si="593">F142*V143</f>
        <v>35.981450168563725</v>
      </c>
      <c r="G143" s="86">
        <f t="shared" ref="G143" si="594">G142*W143</f>
        <v>38.093473208898274</v>
      </c>
      <c r="H143" s="86">
        <f t="shared" ref="H143" si="595">H142*X143</f>
        <v>40.347978937914768</v>
      </c>
      <c r="I143" s="86">
        <f t="shared" ref="I143" si="596">I142*Y143</f>
        <v>42.755688981633853</v>
      </c>
      <c r="J143" s="86">
        <f t="shared" ref="J143" si="597">J142*Z143</f>
        <v>45.328209062449844</v>
      </c>
      <c r="K143" s="86">
        <f t="shared" ref="K143" si="598">K142*AA143</f>
        <v>48.078107923097797</v>
      </c>
      <c r="L143" s="86">
        <f t="shared" ref="L143" si="599">L142*AB143</f>
        <v>51.01900381030736</v>
      </c>
      <c r="M143" s="86">
        <f t="shared" ref="M143" si="600">M142*AC143</f>
        <v>54.165659289721788</v>
      </c>
      <c r="N143" s="86">
        <f t="shared" ref="N143" si="601">N142*AD143</f>
        <v>57.534085247113168</v>
      </c>
      <c r="O143" s="86">
        <f t="shared" ref="O143" si="602">O142*AE143</f>
        <v>61.141655023897414</v>
      </c>
      <c r="P143" s="86">
        <f t="shared" ref="P143" si="603">P142*AF143</f>
        <v>65.007229738588663</v>
      </c>
      <c r="Q143" s="86">
        <f t="shared" ref="Q143" si="604">Q142*AG143</f>
        <v>69.151295961416196</v>
      </c>
      <c r="R143" s="84">
        <f>RATE(12,,-E143,Q143)</f>
        <v>6.0941216091325828E-2</v>
      </c>
      <c r="S143" s="59" t="s">
        <v>34</v>
      </c>
      <c r="T143" s="12">
        <v>0.56000000000000005</v>
      </c>
      <c r="U143" s="12">
        <v>0.56092161367703952</v>
      </c>
      <c r="V143" s="12">
        <v>0.56184474408938223</v>
      </c>
      <c r="W143" s="12">
        <v>0.56276939373317769</v>
      </c>
      <c r="X143" s="12">
        <v>0.56369556510868446</v>
      </c>
      <c r="Y143" s="12">
        <v>0.56462326072027491</v>
      </c>
      <c r="Z143" s="12">
        <v>0.56555248307644368</v>
      </c>
      <c r="AA143" s="12">
        <v>0.56648323468981299</v>
      </c>
      <c r="AB143" s="12">
        <v>0.56741551807714108</v>
      </c>
      <c r="AC143" s="12">
        <v>0.56834933575932756</v>
      </c>
      <c r="AD143" s="12">
        <v>0.56928469026142059</v>
      </c>
      <c r="AE143" s="12">
        <v>0.57022158411262425</v>
      </c>
      <c r="AF143" s="12">
        <v>0.57116001984630527</v>
      </c>
      <c r="AG143" s="12">
        <v>0.57209999999999905</v>
      </c>
    </row>
    <row r="144" spans="1:33" ht="15.75" thickBot="1" x14ac:dyDescent="0.3">
      <c r="A144" s="111"/>
      <c r="B144" s="60" t="s">
        <v>35</v>
      </c>
      <c r="C144" s="53"/>
      <c r="D144" s="87">
        <f>D142*T144</f>
        <v>25.257539999999999</v>
      </c>
      <c r="E144" s="87">
        <f t="shared" ref="E144" si="605">E142*U144</f>
        <v>26.616095773650304</v>
      </c>
      <c r="F144" s="87">
        <f t="shared" ref="F144" si="606">F142*V144</f>
        <v>28.060174403151663</v>
      </c>
      <c r="G144" s="87">
        <f t="shared" ref="G144" si="607">G142*W144</f>
        <v>29.595839026442107</v>
      </c>
      <c r="H144" s="87">
        <f t="shared" ref="H144" si="608">H142*X144</f>
        <v>31.229626839656667</v>
      </c>
      <c r="I144" s="87">
        <f t="shared" ref="I144" si="609">I142*Y144</f>
        <v>32.968589410814161</v>
      </c>
      <c r="J144" s="87">
        <f t="shared" ref="J144" si="610">J142*Z144</f>
        <v>34.820336685024131</v>
      </c>
      <c r="K144" s="87">
        <f t="shared" ref="K144" si="611">K142*AA144</f>
        <v>36.793085042434079</v>
      </c>
      <c r="L144" s="87">
        <f t="shared" ref="L144" si="612">L142*AB144</f>
        <v>38.895709807678749</v>
      </c>
      <c r="M144" s="87">
        <f t="shared" ref="M144" si="613">M142*AC144</f>
        <v>41.13780265126077</v>
      </c>
      <c r="N144" s="87">
        <f t="shared" ref="N144" si="614">N142*AD144</f>
        <v>43.529734369558767</v>
      </c>
      <c r="O144" s="87">
        <f t="shared" ref="O144" si="615">O142*AE144</f>
        <v>46.082723581563002</v>
      </c>
      <c r="P144" s="87">
        <f t="shared" ref="P144" si="616">P142*AF144</f>
        <v>48.808911937576987</v>
      </c>
      <c r="Q144" s="87">
        <f t="shared" ref="Q144" si="617">Q142*AG144</f>
        <v>51.721446498671739</v>
      </c>
      <c r="R144" s="85">
        <f>RATE(12,,-E144,Q144)</f>
        <v>5.6924242387559595E-2</v>
      </c>
      <c r="S144" s="60" t="s">
        <v>35</v>
      </c>
      <c r="T144" s="12">
        <f>1-T143</f>
        <v>0.43999999999999995</v>
      </c>
      <c r="U144" s="12">
        <f t="shared" ref="U144" si="618">1-U143</f>
        <v>0.43907838632296048</v>
      </c>
      <c r="V144" s="12">
        <f t="shared" ref="V144" si="619">1-V143</f>
        <v>0.43815525591061777</v>
      </c>
      <c r="W144" s="12">
        <f t="shared" ref="W144" si="620">1-W143</f>
        <v>0.43723060626682231</v>
      </c>
      <c r="X144" s="12">
        <f t="shared" ref="X144" si="621">1-X143</f>
        <v>0.43630443489131554</v>
      </c>
      <c r="Y144" s="12">
        <f t="shared" ref="Y144" si="622">1-Y143</f>
        <v>0.43537673927972509</v>
      </c>
      <c r="Z144" s="12">
        <f t="shared" ref="Z144" si="623">1-Z143</f>
        <v>0.43444751692355632</v>
      </c>
      <c r="AA144" s="12">
        <f t="shared" ref="AA144" si="624">1-AA143</f>
        <v>0.43351676531018701</v>
      </c>
      <c r="AB144" s="12">
        <f t="shared" ref="AB144" si="625">1-AB143</f>
        <v>0.43258448192285892</v>
      </c>
      <c r="AC144" s="12">
        <f t="shared" ref="AC144" si="626">1-AC143</f>
        <v>0.43165066424067244</v>
      </c>
      <c r="AD144" s="12">
        <f t="shared" ref="AD144" si="627">1-AD143</f>
        <v>0.43071530973857941</v>
      </c>
      <c r="AE144" s="12">
        <f t="shared" ref="AE144" si="628">1-AE143</f>
        <v>0.42977841588737575</v>
      </c>
      <c r="AF144" s="12">
        <f t="shared" ref="AF144" si="629">1-AF143</f>
        <v>0.42883998015369473</v>
      </c>
      <c r="AG144" s="12">
        <f t="shared" ref="AG144" si="630">1-AG143</f>
        <v>0.42790000000000095</v>
      </c>
    </row>
    <row r="145" spans="1:33" ht="15.75" thickBot="1" x14ac:dyDescent="0.3">
      <c r="A145" s="1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21"/>
    </row>
    <row r="146" spans="1:33" x14ac:dyDescent="0.25">
      <c r="A146" s="110" t="s">
        <v>15</v>
      </c>
      <c r="B146" s="64" t="s">
        <v>16</v>
      </c>
      <c r="C146" s="54"/>
      <c r="D146" s="89">
        <f>D142*T146</f>
        <v>27.037048499999997</v>
      </c>
      <c r="E146" s="89">
        <f t="shared" ref="E146" si="631">E142*U146</f>
        <v>28.513819772307691</v>
      </c>
      <c r="F146" s="89">
        <f t="shared" ref="F146" si="632">F142*V146</f>
        <v>30.084784712266604</v>
      </c>
      <c r="G146" s="89">
        <f t="shared" ref="G146" si="633">G142*W146</f>
        <v>31.756701178718533</v>
      </c>
      <c r="H146" s="89">
        <f t="shared" ref="H146" si="634">H142*X146</f>
        <v>33.536861291629812</v>
      </c>
      <c r="I146" s="89">
        <f t="shared" ref="I146" si="635">I142*Y146</f>
        <v>35.433137343173939</v>
      </c>
      <c r="J146" s="89">
        <f t="shared" ref="J146" si="636">J142*Z146</f>
        <v>37.454031955069567</v>
      </c>
      <c r="K146" s="89">
        <f t="shared" ref="K146" si="637">K142*AA146</f>
        <v>39.608732901683219</v>
      </c>
      <c r="L146" s="89">
        <f t="shared" ref="L146" si="638">L142*AB146</f>
        <v>41.907173062413676</v>
      </c>
      <c r="M146" s="89">
        <f t="shared" ref="M146" si="639">M142*AC146</f>
        <v>44.360096015760419</v>
      </c>
      <c r="N146" s="89">
        <f t="shared" ref="N146" si="640">N142*AD146</f>
        <v>46.979127841811419</v>
      </c>
      <c r="O146" s="89">
        <f t="shared" ref="O146" si="641">O142*AE146</f>
        <v>49.776855760304123</v>
      </c>
      <c r="P146" s="89">
        <f t="shared" ref="P146" si="642">P142*AF146</f>
        <v>52.766914298634646</v>
      </c>
      <c r="Q146" s="89">
        <f t="shared" ref="Q146" si="643">Q142*AG146</f>
        <v>55.964079759020713</v>
      </c>
      <c r="R146" s="76">
        <f>RATE(12,,-E146,Q146)</f>
        <v>5.7802276231100416E-2</v>
      </c>
      <c r="S146" s="64" t="s">
        <v>16</v>
      </c>
      <c r="T146" s="12">
        <v>0.47099999999999992</v>
      </c>
      <c r="U146" s="12">
        <v>0.47038461538461535</v>
      </c>
      <c r="V146" s="12">
        <v>0.46976923076923072</v>
      </c>
      <c r="W146" s="12">
        <v>0.46915384615384609</v>
      </c>
      <c r="X146" s="12">
        <v>0.46853846153846151</v>
      </c>
      <c r="Y146" s="12">
        <v>0.46792307692307689</v>
      </c>
      <c r="Z146" s="12">
        <v>0.46730769230769226</v>
      </c>
      <c r="AA146" s="12">
        <v>0.46669230769230763</v>
      </c>
      <c r="AB146" s="12">
        <v>0.46607692307692306</v>
      </c>
      <c r="AC146" s="12">
        <v>0.46546153846153843</v>
      </c>
      <c r="AD146" s="12">
        <v>0.4648461538461538</v>
      </c>
      <c r="AE146" s="12">
        <v>0.46423076923076922</v>
      </c>
      <c r="AF146" s="12">
        <v>0.4636153846153846</v>
      </c>
      <c r="AG146" s="12">
        <v>0.46299999999999997</v>
      </c>
    </row>
    <row r="147" spans="1:33" ht="15.75" thickBot="1" x14ac:dyDescent="0.3">
      <c r="A147" s="111"/>
      <c r="B147" s="65" t="s">
        <v>17</v>
      </c>
      <c r="C147" s="55"/>
      <c r="D147" s="90">
        <f>D142*T147</f>
        <v>30.366451500000007</v>
      </c>
      <c r="E147" s="90">
        <f t="shared" ref="E147" si="644">E142*U147</f>
        <v>32.10427622769231</v>
      </c>
      <c r="F147" s="90">
        <f t="shared" ref="F147" si="645">F142*V147</f>
        <v>33.956839859448785</v>
      </c>
      <c r="G147" s="90">
        <f t="shared" ref="G147" si="646">G142*W147</f>
        <v>35.932611056621852</v>
      </c>
      <c r="H147" s="90">
        <f t="shared" ref="H147" si="647">H142*X147</f>
        <v>38.040744485941616</v>
      </c>
      <c r="I147" s="90">
        <f t="shared" ref="I147" si="648">I142*Y147</f>
        <v>40.291141049274074</v>
      </c>
      <c r="J147" s="90">
        <f t="shared" ref="J147" si="649">J142*Z147</f>
        <v>42.694513792404415</v>
      </c>
      <c r="K147" s="90">
        <f t="shared" ref="K147" si="650">K142*AA147</f>
        <v>45.262460063848657</v>
      </c>
      <c r="L147" s="90">
        <f t="shared" ref="L147" si="651">L142*AB147</f>
        <v>48.007540555572433</v>
      </c>
      <c r="M147" s="90">
        <f t="shared" ref="M147" si="652">M142*AC147</f>
        <v>50.943365925222146</v>
      </c>
      <c r="N147" s="90">
        <f t="shared" ref="N147" si="653">N142*AD147</f>
        <v>54.084691774860516</v>
      </c>
      <c r="O147" s="90">
        <f t="shared" ref="O147" si="654">O142*AE147</f>
        <v>57.447522845156293</v>
      </c>
      <c r="P147" s="90">
        <f t="shared" ref="P147" si="655">P142*AF147</f>
        <v>61.049227377531018</v>
      </c>
      <c r="Q147" s="90">
        <f t="shared" ref="Q147" si="656">Q142*AG147</f>
        <v>64.908662701067229</v>
      </c>
      <c r="R147" s="77">
        <f>RATE(12,,-E147,Q147)</f>
        <v>6.0420988192799736E-2</v>
      </c>
      <c r="S147" s="65" t="s">
        <v>17</v>
      </c>
      <c r="T147" s="12">
        <f>1-T146</f>
        <v>0.52900000000000014</v>
      </c>
      <c r="U147" s="12">
        <f t="shared" ref="U147" si="657">1-U146</f>
        <v>0.5296153846153846</v>
      </c>
      <c r="V147" s="12">
        <f t="shared" ref="V147" si="658">1-V146</f>
        <v>0.53023076923076928</v>
      </c>
      <c r="W147" s="12">
        <f t="shared" ref="W147" si="659">1-W146</f>
        <v>0.53084615384615397</v>
      </c>
      <c r="X147" s="12">
        <f t="shared" ref="X147" si="660">1-X146</f>
        <v>0.53146153846153843</v>
      </c>
      <c r="Y147" s="12">
        <f t="shared" ref="Y147" si="661">1-Y146</f>
        <v>0.53207692307692311</v>
      </c>
      <c r="Z147" s="12">
        <f t="shared" ref="Z147" si="662">1-Z146</f>
        <v>0.5326923076923078</v>
      </c>
      <c r="AA147" s="12">
        <f t="shared" ref="AA147" si="663">1-AA146</f>
        <v>0.53330769230769237</v>
      </c>
      <c r="AB147" s="12">
        <f t="shared" ref="AB147" si="664">1-AB146</f>
        <v>0.53392307692307694</v>
      </c>
      <c r="AC147" s="12">
        <f t="shared" ref="AC147" si="665">1-AC146</f>
        <v>0.53453846153846163</v>
      </c>
      <c r="AD147" s="12">
        <f t="shared" ref="AD147" si="666">1-AD146</f>
        <v>0.5351538461538462</v>
      </c>
      <c r="AE147" s="12">
        <f t="shared" ref="AE147" si="667">1-AE146</f>
        <v>0.53576923076923078</v>
      </c>
      <c r="AF147" s="12">
        <f t="shared" ref="AF147" si="668">1-AF146</f>
        <v>0.53638461538461546</v>
      </c>
      <c r="AG147" s="12">
        <f t="shared" ref="AG147" si="669">1-AG146</f>
        <v>0.53700000000000003</v>
      </c>
    </row>
    <row r="148" spans="1:33" ht="15.75" thickBot="1" x14ac:dyDescent="0.3">
      <c r="A148" s="1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21"/>
    </row>
    <row r="149" spans="1:33" x14ac:dyDescent="0.25">
      <c r="A149" s="110" t="s">
        <v>18</v>
      </c>
      <c r="B149" s="61" t="s">
        <v>19</v>
      </c>
      <c r="C149" s="56"/>
      <c r="D149" s="91">
        <f>D142*T149</f>
        <v>23.018803499999997</v>
      </c>
      <c r="E149" s="91">
        <f t="shared" ref="E149" si="670">E142*U149</f>
        <v>24.40793123385356</v>
      </c>
      <c r="F149" s="91">
        <f t="shared" ref="F149" si="671">F142*V149</f>
        <v>25.89258004568639</v>
      </c>
      <c r="G149" s="91">
        <f t="shared" ref="G149" si="672">G142*W149</f>
        <v>27.480042237529879</v>
      </c>
      <c r="H149" s="91">
        <f t="shared" ref="H149" si="673">H142*X149</f>
        <v>29.178218302085892</v>
      </c>
      <c r="I149" s="91">
        <f t="shared" ref="I149" si="674">I142*Y149</f>
        <v>30.995671716788475</v>
      </c>
      <c r="J149" s="91">
        <f t="shared" ref="J149" si="675">J142*Z149</f>
        <v>32.941689025895897</v>
      </c>
      <c r="K149" s="91">
        <f t="shared" ref="K149" si="676">K142*AA149</f>
        <v>35.026345753703339</v>
      </c>
      <c r="L149" s="91">
        <f t="shared" ref="L149" si="677">L142*AB149</f>
        <v>37.260578751009902</v>
      </c>
      <c r="M149" s="91">
        <f t="shared" ref="M149" si="678">M142*AC149</f>
        <v>39.65626564278287</v>
      </c>
      <c r="N149" s="91">
        <f t="shared" ref="N149" si="679">N142*AD149</f>
        <v>42.226312118350826</v>
      </c>
      <c r="O149" s="91">
        <f t="shared" ref="O149" si="680">O142*AE149</f>
        <v>44.984747887342458</v>
      </c>
      <c r="P149" s="91">
        <f t="shared" ref="P149" si="681">P142*AF149</f>
        <v>47.946832216001731</v>
      </c>
      <c r="Q149" s="91">
        <f t="shared" ref="Q149" si="682">Q142*AG149</f>
        <v>51.12917006061712</v>
      </c>
      <c r="R149" s="78">
        <f>RATE(12,,-E149,Q149)</f>
        <v>6.355874041697826E-2</v>
      </c>
      <c r="S149" s="61" t="s">
        <v>19</v>
      </c>
      <c r="T149" s="12">
        <v>0.40099999999999997</v>
      </c>
      <c r="U149" s="12">
        <v>0.40265090533119946</v>
      </c>
      <c r="V149" s="12">
        <v>0.40430860739160734</v>
      </c>
      <c r="W149" s="12">
        <v>0.40597313416316017</v>
      </c>
      <c r="X149" s="12">
        <v>0.40764451374299493</v>
      </c>
      <c r="Y149" s="12">
        <v>0.40932277434392395</v>
      </c>
      <c r="Z149" s="12">
        <v>0.41100794429491083</v>
      </c>
      <c r="AA149" s="12">
        <v>0.4127000520415488</v>
      </c>
      <c r="AB149" s="12">
        <v>0.41439912614654062</v>
      </c>
      <c r="AC149" s="12">
        <v>0.41610519529018092</v>
      </c>
      <c r="AD149" s="12">
        <v>0.41781828827084017</v>
      </c>
      <c r="AE149" s="12">
        <v>0.4195384340054511</v>
      </c>
      <c r="AF149" s="12">
        <v>0.4212656615299965</v>
      </c>
      <c r="AG149" s="12">
        <v>0.42299999999999938</v>
      </c>
    </row>
    <row r="150" spans="1:33" ht="15.75" thickBot="1" x14ac:dyDescent="0.3">
      <c r="A150" s="111"/>
      <c r="B150" s="63" t="s">
        <v>20</v>
      </c>
      <c r="C150" s="51"/>
      <c r="D150" s="92">
        <f>D142*T150</f>
        <v>34.384696499999997</v>
      </c>
      <c r="E150" s="92">
        <f t="shared" ref="E150" si="683">E142*U150</f>
        <v>36.210164766146434</v>
      </c>
      <c r="F150" s="92">
        <f t="shared" ref="F150" si="684">F142*V150</f>
        <v>38.149044526028995</v>
      </c>
      <c r="G150" s="92">
        <f t="shared" ref="G150" si="685">G142*W150</f>
        <v>40.209269997810502</v>
      </c>
      <c r="H150" s="92">
        <f t="shared" ref="H150" si="686">H142*X150</f>
        <v>42.39938747548554</v>
      </c>
      <c r="I150" s="92">
        <f t="shared" ref="I150" si="687">I142*Y150</f>
        <v>44.728606675659542</v>
      </c>
      <c r="J150" s="92">
        <f t="shared" ref="J150" si="688">J142*Z150</f>
        <v>47.206856721578077</v>
      </c>
      <c r="K150" s="92">
        <f t="shared" ref="K150" si="689">K142*AA150</f>
        <v>49.844847211828537</v>
      </c>
      <c r="L150" s="92">
        <f t="shared" ref="L150" si="690">L142*AB150</f>
        <v>52.654134866976207</v>
      </c>
      <c r="M150" s="92">
        <f t="shared" ref="M150" si="691">M142*AC150</f>
        <v>55.647196298199688</v>
      </c>
      <c r="N150" s="92">
        <f t="shared" ref="N150" si="692">N142*AD150</f>
        <v>58.837507498321116</v>
      </c>
      <c r="O150" s="92">
        <f t="shared" ref="O150" si="693">O142*AE150</f>
        <v>62.239630718117958</v>
      </c>
      <c r="P150" s="92">
        <f t="shared" ref="P150" si="694">P142*AF150</f>
        <v>65.869309460163919</v>
      </c>
      <c r="Q150" s="92">
        <f t="shared" ref="Q150" si="695">Q142*AG150</f>
        <v>69.743572399470807</v>
      </c>
      <c r="R150" s="79">
        <f>RATE(12,,-E150,Q150)</f>
        <v>5.6143200405122787E-2</v>
      </c>
      <c r="S150" s="63" t="s">
        <v>20</v>
      </c>
      <c r="T150" s="12">
        <f>1-T149</f>
        <v>0.59899999999999998</v>
      </c>
      <c r="U150" s="12">
        <f t="shared" ref="U150" si="696">1-U149</f>
        <v>0.59734909466880048</v>
      </c>
      <c r="V150" s="12">
        <f t="shared" ref="V150" si="697">1-V149</f>
        <v>0.59569139260839266</v>
      </c>
      <c r="W150" s="12">
        <f t="shared" ref="W150" si="698">1-W149</f>
        <v>0.59402686583683983</v>
      </c>
      <c r="X150" s="12">
        <f t="shared" ref="X150" si="699">1-X149</f>
        <v>0.59235548625700507</v>
      </c>
      <c r="Y150" s="12">
        <f t="shared" ref="Y150" si="700">1-Y149</f>
        <v>0.59067722565607605</v>
      </c>
      <c r="Z150" s="12">
        <f t="shared" ref="Z150" si="701">1-Z149</f>
        <v>0.58899205570508917</v>
      </c>
      <c r="AA150" s="12">
        <f t="shared" ref="AA150" si="702">1-AA149</f>
        <v>0.5872999479584512</v>
      </c>
      <c r="AB150" s="12">
        <f t="shared" ref="AB150" si="703">1-AB149</f>
        <v>0.58560087385345938</v>
      </c>
      <c r="AC150" s="12">
        <f t="shared" ref="AC150" si="704">1-AC149</f>
        <v>0.58389480470981914</v>
      </c>
      <c r="AD150" s="12">
        <f t="shared" ref="AD150" si="705">1-AD149</f>
        <v>0.58218171172915989</v>
      </c>
      <c r="AE150" s="12">
        <f t="shared" ref="AE150" si="706">1-AE149</f>
        <v>0.5804615659945489</v>
      </c>
      <c r="AF150" s="12">
        <f t="shared" ref="AF150" si="707">1-AF149</f>
        <v>0.57873433847000344</v>
      </c>
      <c r="AG150" s="12">
        <f t="shared" ref="AG150" si="708">1-AG149</f>
        <v>0.57700000000000062</v>
      </c>
    </row>
    <row r="151" spans="1:33" ht="15.75" thickBot="1" x14ac:dyDescent="0.3">
      <c r="A151" s="2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21"/>
    </row>
    <row r="152" spans="1:33" x14ac:dyDescent="0.25">
      <c r="A152" s="110" t="s">
        <v>14</v>
      </c>
      <c r="B152" s="66" t="s">
        <v>21</v>
      </c>
      <c r="C152" s="57"/>
      <c r="D152" s="93">
        <f>D142*T152</f>
        <v>14.350875</v>
      </c>
      <c r="E152" s="93">
        <f t="shared" ref="E152" si="709">E142*U152</f>
        <v>15.248841841027136</v>
      </c>
      <c r="F152" s="93">
        <f t="shared" ref="F152" si="710">F142*V152</f>
        <v>16.210315565959039</v>
      </c>
      <c r="G152" s="93">
        <f t="shared" ref="G152" si="711">G142*W152</f>
        <v>17.24025918538663</v>
      </c>
      <c r="H152" s="93">
        <f t="shared" ref="H152" si="712">H142*X152</f>
        <v>18.34405808108923</v>
      </c>
      <c r="I152" s="93">
        <f t="shared" ref="I152" si="713">I142*Y152</f>
        <v>19.527558745051831</v>
      </c>
      <c r="J152" s="93">
        <f t="shared" ref="J152" si="714">J142*Z152</f>
        <v>20.797111317666165</v>
      </c>
      <c r="K152" s="93">
        <f t="shared" ref="K152" si="715">K142*AA152</f>
        <v>22.15961632105498</v>
      </c>
      <c r="L152" s="93">
        <f t="shared" ref="L152" si="716">L142*AB152</f>
        <v>23.622576027088606</v>
      </c>
      <c r="M152" s="93">
        <f t="shared" ref="M152" si="717">M142*AC152</f>
        <v>25.194150948354771</v>
      </c>
      <c r="N152" s="93">
        <f t="shared" ref="N152" si="718">N142*AD152</f>
        <v>26.883221994713168</v>
      </c>
      <c r="O152" s="93">
        <f t="shared" ref="O152" si="719">O142*AE152</f>
        <v>28.699458898809706</v>
      </c>
      <c r="P152" s="93">
        <f t="shared" ref="P152" si="720">P142*AF152</f>
        <v>30.653395581826306</v>
      </c>
      <c r="Q152" s="93">
        <f t="shared" ref="Q152" si="721">Q142*AG152</f>
        <v>32.756513206683849</v>
      </c>
      <c r="R152" s="80">
        <f t="shared" ref="R152:R157" si="722">RATE(12,,-E152,Q152)</f>
        <v>6.5790227810093777E-2</v>
      </c>
      <c r="S152" s="66" t="s">
        <v>21</v>
      </c>
      <c r="T152" s="12">
        <v>0.25</v>
      </c>
      <c r="U152" s="12">
        <v>0.25155593539307364</v>
      </c>
      <c r="V152" s="12">
        <v>0.25312155452593693</v>
      </c>
      <c r="W152" s="12">
        <v>0.25469691766768382</v>
      </c>
      <c r="X152" s="12">
        <v>0.25628208546250747</v>
      </c>
      <c r="Y152" s="12">
        <v>0.2578771189320348</v>
      </c>
      <c r="Z152" s="12">
        <v>0.25948207947767565</v>
      </c>
      <c r="AA152" s="12">
        <v>0.2610970288829863</v>
      </c>
      <c r="AB152" s="12">
        <v>0.26272202931604799</v>
      </c>
      <c r="AC152" s="12">
        <v>0.26435714333185978</v>
      </c>
      <c r="AD152" s="12">
        <v>0.26600243387474731</v>
      </c>
      <c r="AE152" s="12">
        <v>0.26765796428078514</v>
      </c>
      <c r="AF152" s="12">
        <v>0.26932379828023517</v>
      </c>
      <c r="AG152" s="12">
        <v>0.27100000000000013</v>
      </c>
    </row>
    <row r="153" spans="1:33" x14ac:dyDescent="0.25">
      <c r="A153" s="112"/>
      <c r="B153" s="67" t="s">
        <v>22</v>
      </c>
      <c r="C153" s="48"/>
      <c r="D153" s="94">
        <f>D142*T153</f>
        <v>21.813330000000001</v>
      </c>
      <c r="E153" s="94">
        <f t="shared" ref="E153" si="723">E142*U153</f>
        <v>23.090032241814935</v>
      </c>
      <c r="F153" s="94">
        <f t="shared" ref="F153" si="724">F142*V153</f>
        <v>24.452498451718625</v>
      </c>
      <c r="G153" s="94">
        <f t="shared" ref="G153" si="725">G142*W153</f>
        <v>25.907150781874403</v>
      </c>
      <c r="H153" s="94">
        <f t="shared" ref="H153" si="726">H142*X153</f>
        <v>27.460938171993899</v>
      </c>
      <c r="I153" s="94">
        <f t="shared" ref="I153" si="727">I142*Y153</f>
        <v>29.121383118237659</v>
      </c>
      <c r="J153" s="94">
        <f t="shared" ref="J153" si="728">J142*Z153</f>
        <v>30.896632896564441</v>
      </c>
      <c r="K153" s="94">
        <f t="shared" ref="K153" si="729">K142*AA153</f>
        <v>32.795515692554396</v>
      </c>
      <c r="L153" s="94">
        <f t="shared" ref="L153" si="730">L142*AB153</f>
        <v>34.827602138335919</v>
      </c>
      <c r="M153" s="94">
        <f t="shared" ref="M153" si="731">M142*AC153</f>
        <v>37.003272811362329</v>
      </c>
      <c r="N153" s="94">
        <f t="shared" ref="N153" si="732">N142*AD153</f>
        <v>39.333792310071559</v>
      </c>
      <c r="O153" s="94">
        <f t="shared" ref="O153" si="733">O142*AE153</f>
        <v>41.831390588657534</v>
      </c>
      <c r="P153" s="94">
        <f t="shared" ref="P153" si="734">P142*AF153</f>
        <v>44.509352308117684</v>
      </c>
      <c r="Q153" s="94">
        <f t="shared" ref="Q153" si="735">Q142*AG153</f>
        <v>47.382115044354471</v>
      </c>
      <c r="R153" s="81">
        <f t="shared" si="722"/>
        <v>6.1734245118696421E-2</v>
      </c>
      <c r="S153" s="67" t="s">
        <v>22</v>
      </c>
      <c r="T153" s="12">
        <v>0.38</v>
      </c>
      <c r="U153" s="12">
        <v>0.38090988938047371</v>
      </c>
      <c r="V153" s="12">
        <v>0.38182195744169661</v>
      </c>
      <c r="W153" s="12">
        <v>0.38273620940040159</v>
      </c>
      <c r="X153" s="12">
        <v>0.38365265048581265</v>
      </c>
      <c r="Y153" s="12">
        <v>0.38457128593967477</v>
      </c>
      <c r="Z153" s="12">
        <v>0.38549212101628438</v>
      </c>
      <c r="AA153" s="12">
        <v>0.38641516098251855</v>
      </c>
      <c r="AB153" s="12">
        <v>0.38734041111786593</v>
      </c>
      <c r="AC153" s="12">
        <v>0.38826787671445667</v>
      </c>
      <c r="AD153" s="12">
        <v>0.38919756307709236</v>
      </c>
      <c r="AE153" s="12">
        <v>0.39012947552327681</v>
      </c>
      <c r="AF153" s="12">
        <v>0.3910636193832463</v>
      </c>
      <c r="AG153" s="12">
        <v>0.39200000000000002</v>
      </c>
    </row>
    <row r="154" spans="1:33" x14ac:dyDescent="0.25">
      <c r="A154" s="112"/>
      <c r="B154" s="68" t="s">
        <v>23</v>
      </c>
      <c r="C154" s="48"/>
      <c r="D154" s="95">
        <f>D153*T154</f>
        <v>7.634665499999997</v>
      </c>
      <c r="E154" s="95">
        <f t="shared" ref="E154" si="736">E153*U154</f>
        <v>8.0673313234317678</v>
      </c>
      <c r="F154" s="95">
        <f t="shared" ref="F154" si="737">F153*V154</f>
        <v>8.5283674592655476</v>
      </c>
      <c r="G154" s="95">
        <f t="shared" ref="G154" si="738">G153*W154</f>
        <v>9.0198564751603652</v>
      </c>
      <c r="H154" s="95">
        <f t="shared" ref="H154" si="739">H153*X154</f>
        <v>9.5440488738649609</v>
      </c>
      <c r="I154" s="95">
        <f t="shared" ref="I154" si="740">I153*Y154</f>
        <v>10.103377780250344</v>
      </c>
      <c r="J154" s="95">
        <f t="shared" ref="J154" si="741">J153*Z154</f>
        <v>10.700475008452781</v>
      </c>
      <c r="K154" s="95">
        <f t="shared" ref="K154" si="742">K153*AA154</f>
        <v>11.338188647470187</v>
      </c>
      <c r="L154" s="95">
        <f t="shared" ref="L154" si="743">L153*AB154</f>
        <v>12.01960231826355</v>
      </c>
      <c r="M154" s="95">
        <f t="shared" ref="M154" si="744">M153*AC154</f>
        <v>12.748056271774654</v>
      </c>
      <c r="N154" s="95">
        <f t="shared" ref="N154" si="745">N153*AD154</f>
        <v>13.527170515476779</v>
      </c>
      <c r="O154" s="95">
        <f t="shared" ref="O154" si="746">O153*AE154</f>
        <v>14.360870176345436</v>
      </c>
      <c r="P154" s="95">
        <f t="shared" ref="P154" si="747">P153*AF154</f>
        <v>15.253413330717171</v>
      </c>
      <c r="Q154" s="95">
        <f t="shared" ref="Q154" si="748">Q153*AG154</f>
        <v>16.209421556673654</v>
      </c>
      <c r="R154" s="81">
        <f t="shared" si="722"/>
        <v>5.9871307621747409E-2</v>
      </c>
      <c r="S154" s="68" t="s">
        <v>23</v>
      </c>
      <c r="T154" s="74">
        <v>0.34999999999999987</v>
      </c>
      <c r="U154" s="74">
        <v>0.34938588387166564</v>
      </c>
      <c r="V154" s="74">
        <v>0.34877284528224306</v>
      </c>
      <c r="W154" s="74">
        <v>0.34816088234106346</v>
      </c>
      <c r="X154" s="74">
        <v>0.34754999316077562</v>
      </c>
      <c r="Y154" s="74">
        <v>0.34694017585733994</v>
      </c>
      <c r="Z154" s="74">
        <v>0.34633142855002247</v>
      </c>
      <c r="AA154" s="74">
        <v>0.34572374936138933</v>
      </c>
      <c r="AB154" s="74">
        <v>0.34511713641730069</v>
      </c>
      <c r="AC154" s="74">
        <v>0.34451158784690528</v>
      </c>
      <c r="AD154" s="74">
        <v>0.34390710178263434</v>
      </c>
      <c r="AE154" s="74">
        <v>0.34330367636019604</v>
      </c>
      <c r="AF154" s="74">
        <v>0.34270130971856966</v>
      </c>
      <c r="AG154" s="74">
        <v>0.34209999999999979</v>
      </c>
    </row>
    <row r="155" spans="1:33" x14ac:dyDescent="0.25">
      <c r="A155" s="112"/>
      <c r="B155" s="68" t="s">
        <v>24</v>
      </c>
      <c r="C155" s="48"/>
      <c r="D155" s="95">
        <f>D153*T155</f>
        <v>6.1077324000000006</v>
      </c>
      <c r="E155" s="95">
        <f t="shared" ref="E155" si="749">E153*U155</f>
        <v>6.4878185172392566</v>
      </c>
      <c r="F155" s="95">
        <f t="shared" ref="F155" si="750">F153*V155</f>
        <v>6.8946705006919125</v>
      </c>
      <c r="G155" s="95">
        <f t="shared" ref="G155" si="751">G153*W155</f>
        <v>7.3303726095066875</v>
      </c>
      <c r="H155" s="95">
        <f t="shared" ref="H155" si="752">H153*X155</f>
        <v>7.7971859330267614</v>
      </c>
      <c r="I155" s="95">
        <f t="shared" ref="I155" si="753">I153*Y155</f>
        <v>8.2975645648995613</v>
      </c>
      <c r="J155" s="95">
        <f t="shared" ref="J155" si="754">J153*Z155</f>
        <v>8.8341733594926914</v>
      </c>
      <c r="K155" s="95">
        <f t="shared" ref="K155" si="755">K153*AA155</f>
        <v>9.4099074351486749</v>
      </c>
      <c r="L155" s="95">
        <f t="shared" ref="L155" si="756">L153*AB155</f>
        <v>10.027913606904036</v>
      </c>
      <c r="M155" s="95">
        <f t="shared" ref="M155" si="757">M153*AC155</f>
        <v>10.691613951486254</v>
      </c>
      <c r="N155" s="95">
        <f t="shared" ref="N155" si="758">N153*AD155</f>
        <v>11.404731729940037</v>
      </c>
      <c r="O155" s="95">
        <f t="shared" ref="O155" si="759">O153*AE155</f>
        <v>12.17131991840917</v>
      </c>
      <c r="P155" s="95">
        <f t="shared" ref="P155" si="760">P153*AF155</f>
        <v>12.995792625735266</v>
      </c>
      <c r="Q155" s="95">
        <f t="shared" ref="Q155" si="761">Q153*AG155</f>
        <v>13.882959707995843</v>
      </c>
      <c r="R155" s="81">
        <f t="shared" si="722"/>
        <v>6.5447237103474207E-2</v>
      </c>
      <c r="S155" s="68" t="s">
        <v>24</v>
      </c>
      <c r="T155" s="74">
        <v>0.28000000000000003</v>
      </c>
      <c r="U155" s="74">
        <v>0.28097918830490543</v>
      </c>
      <c r="V155" s="74">
        <v>0.28196180093029821</v>
      </c>
      <c r="W155" s="74">
        <v>0.28294784985137333</v>
      </c>
      <c r="X155" s="74">
        <v>0.28393734708520407</v>
      </c>
      <c r="Y155" s="74">
        <v>0.28493030469088876</v>
      </c>
      <c r="Z155" s="74">
        <v>0.28592673476969749</v>
      </c>
      <c r="AA155" s="74">
        <v>0.28692664946521995</v>
      </c>
      <c r="AB155" s="74">
        <v>0.28793006096351298</v>
      </c>
      <c r="AC155" s="74">
        <v>0.28893698149324931</v>
      </c>
      <c r="AD155" s="74">
        <v>0.28994742332586665</v>
      </c>
      <c r="AE155" s="74">
        <v>0.29096139877571725</v>
      </c>
      <c r="AF155" s="74">
        <v>0.29197892020021765</v>
      </c>
      <c r="AG155" s="74">
        <v>0.29299999999999965</v>
      </c>
    </row>
    <row r="156" spans="1:33" x14ac:dyDescent="0.25">
      <c r="A156" s="112"/>
      <c r="B156" s="68" t="s">
        <v>25</v>
      </c>
      <c r="C156" s="48"/>
      <c r="D156" s="95">
        <f>D153*T156</f>
        <v>8.0709321000000021</v>
      </c>
      <c r="E156" s="95">
        <f t="shared" ref="E156" si="762">E153*U156</f>
        <v>8.5348824011439124</v>
      </c>
      <c r="F156" s="95">
        <f t="shared" ref="F156" si="763">F153*V156</f>
        <v>9.0294604917611654</v>
      </c>
      <c r="G156" s="95">
        <f t="shared" ref="G156" si="764">G153*W156</f>
        <v>9.5569216972073505</v>
      </c>
      <c r="H156" s="95">
        <f t="shared" ref="H156" si="765">H153*X156</f>
        <v>10.119703365102174</v>
      </c>
      <c r="I156" s="95">
        <f t="shared" ref="I156" si="766">I153*Y156</f>
        <v>10.720440773087756</v>
      </c>
      <c r="J156" s="95">
        <f t="shared" ref="J156" si="767">J153*Z156</f>
        <v>11.361984528618969</v>
      </c>
      <c r="K156" s="95">
        <f t="shared" ref="K156" si="768">K153*AA156</f>
        <v>12.047419609935536</v>
      </c>
      <c r="L156" s="95">
        <f t="shared" ref="L156" si="769">L153*AB156</f>
        <v>12.780086213168335</v>
      </c>
      <c r="M156" s="95">
        <f t="shared" ref="M156" si="770">M153*AC156</f>
        <v>13.563602588101421</v>
      </c>
      <c r="N156" s="95">
        <f t="shared" ref="N156" si="771">N153*AD156</f>
        <v>14.40189006465474</v>
      </c>
      <c r="O156" s="95">
        <f t="shared" ref="O156" si="772">O153*AE156</f>
        <v>15.299200493902925</v>
      </c>
      <c r="P156" s="95">
        <f t="shared" ref="P156" si="773">P153*AF156</f>
        <v>16.260146351665249</v>
      </c>
      <c r="Q156" s="95">
        <f t="shared" ref="Q156" si="774">Q153*AG156</f>
        <v>17.289733779684973</v>
      </c>
      <c r="R156" s="81">
        <f t="shared" si="722"/>
        <v>6.0594157510225184E-2</v>
      </c>
      <c r="S156" s="68" t="s">
        <v>25</v>
      </c>
      <c r="T156" s="74">
        <f>1-SUM(T154:T155)</f>
        <v>0.37000000000000011</v>
      </c>
      <c r="U156" s="74">
        <f t="shared" ref="U156" si="775">1-SUM(U154:U155)</f>
        <v>0.36963492782342899</v>
      </c>
      <c r="V156" s="74">
        <f t="shared" ref="V156" si="776">1-SUM(V154:V155)</f>
        <v>0.36926535378745873</v>
      </c>
      <c r="W156" s="74">
        <f t="shared" ref="W156" si="777">1-SUM(W154:W155)</f>
        <v>0.36889126780756321</v>
      </c>
      <c r="X156" s="74">
        <f t="shared" ref="X156" si="778">1-SUM(X154:X155)</f>
        <v>0.36851265975402026</v>
      </c>
      <c r="Y156" s="74">
        <f t="shared" ref="Y156" si="779">1-SUM(Y154:Y155)</f>
        <v>0.3681295194517713</v>
      </c>
      <c r="Z156" s="74">
        <f t="shared" ref="Z156" si="780">1-SUM(Z154:Z155)</f>
        <v>0.36774183668028004</v>
      </c>
      <c r="AA156" s="74">
        <f t="shared" ref="AA156" si="781">1-SUM(AA154:AA155)</f>
        <v>0.36734960117339077</v>
      </c>
      <c r="AB156" s="74">
        <f t="shared" ref="AB156" si="782">1-SUM(AB154:AB155)</f>
        <v>0.36695280261918639</v>
      </c>
      <c r="AC156" s="74">
        <f t="shared" ref="AC156" si="783">1-SUM(AC154:AC155)</f>
        <v>0.36655143065984541</v>
      </c>
      <c r="AD156" s="74">
        <f t="shared" ref="AD156" si="784">1-SUM(AD154:AD155)</f>
        <v>0.36614547489149896</v>
      </c>
      <c r="AE156" s="74">
        <f t="shared" ref="AE156" si="785">1-SUM(AE154:AE155)</f>
        <v>0.36573492486408665</v>
      </c>
      <c r="AF156" s="74">
        <f t="shared" ref="AF156" si="786">1-SUM(AF154:AF155)</f>
        <v>0.36531977008121275</v>
      </c>
      <c r="AG156" s="74">
        <f t="shared" ref="AG156" si="787">1-SUM(AG154:AG155)</f>
        <v>0.36490000000000056</v>
      </c>
    </row>
    <row r="157" spans="1:33" ht="15.75" thickBot="1" x14ac:dyDescent="0.3">
      <c r="A157" s="111"/>
      <c r="B157" s="69" t="s">
        <v>26</v>
      </c>
      <c r="C157" s="58"/>
      <c r="D157" s="96">
        <f>D142*T157</f>
        <v>21.239294999999998</v>
      </c>
      <c r="E157" s="96">
        <f t="shared" ref="E157" si="788">E142*U157</f>
        <v>22.279221917157933</v>
      </c>
      <c r="F157" s="96">
        <f t="shared" ref="F157" si="789">F142*V157</f>
        <v>23.378810554037724</v>
      </c>
      <c r="G157" s="96">
        <f t="shared" ref="G157" si="790">G142*W157</f>
        <v>24.541902268079347</v>
      </c>
      <c r="H157" s="96">
        <f t="shared" ref="H157" si="791">H142*X157</f>
        <v>25.77260952448831</v>
      </c>
      <c r="I157" s="96">
        <f t="shared" ref="I157" si="792">I142*Y157</f>
        <v>27.07533652915852</v>
      </c>
      <c r="J157" s="96">
        <f t="shared" ref="J157" si="793">J142*Z157</f>
        <v>28.454801533243366</v>
      </c>
      <c r="K157" s="96">
        <f t="shared" ref="K157" si="794">K142*AA157</f>
        <v>29.9160609519225</v>
      </c>
      <c r="L157" s="96">
        <f t="shared" ref="L157" si="795">L142*AB157</f>
        <v>31.464535452561584</v>
      </c>
      <c r="M157" s="96">
        <f t="shared" ref="M157" si="796">M142*AC157</f>
        <v>33.106038181265461</v>
      </c>
      <c r="N157" s="96">
        <f t="shared" ref="N157" si="797">N142*AD157</f>
        <v>34.846805311887216</v>
      </c>
      <c r="O157" s="96">
        <f t="shared" ref="O157" si="798">O142*AE157</f>
        <v>36.693529117993172</v>
      </c>
      <c r="P157" s="96">
        <f t="shared" ref="P157" si="799">P142*AF157</f>
        <v>38.65339378622167</v>
      </c>
      <c r="Q157" s="96">
        <f t="shared" ref="Q157" si="800">Q142*AG157</f>
        <v>40.734114209049615</v>
      </c>
      <c r="R157" s="82">
        <f t="shared" si="722"/>
        <v>5.1570000936646106E-2</v>
      </c>
      <c r="S157" s="69" t="s">
        <v>26</v>
      </c>
      <c r="T157" s="12">
        <f>1-SUM(T152+T153)</f>
        <v>0.37</v>
      </c>
      <c r="U157" s="12">
        <f t="shared" ref="U157:AG157" si="801">1-SUM(U152+U153)</f>
        <v>0.36753417522645271</v>
      </c>
      <c r="V157" s="12">
        <f t="shared" si="801"/>
        <v>0.36505648803236646</v>
      </c>
      <c r="W157" s="12">
        <f t="shared" si="801"/>
        <v>0.36256687293191459</v>
      </c>
      <c r="X157" s="12">
        <f t="shared" si="801"/>
        <v>0.36006526405167993</v>
      </c>
      <c r="Y157" s="12">
        <f t="shared" si="801"/>
        <v>0.35755159512829038</v>
      </c>
      <c r="Z157" s="12">
        <f t="shared" si="801"/>
        <v>0.35502579950603996</v>
      </c>
      <c r="AA157" s="12">
        <f t="shared" si="801"/>
        <v>0.35248781013449515</v>
      </c>
      <c r="AB157" s="12">
        <f t="shared" si="801"/>
        <v>0.34993755956608608</v>
      </c>
      <c r="AC157" s="12">
        <f t="shared" si="801"/>
        <v>0.3473749799536836</v>
      </c>
      <c r="AD157" s="12">
        <f t="shared" si="801"/>
        <v>0.34480000304816039</v>
      </c>
      <c r="AE157" s="12">
        <f t="shared" si="801"/>
        <v>0.34221256019593804</v>
      </c>
      <c r="AF157" s="12">
        <f t="shared" si="801"/>
        <v>0.33961258233651859</v>
      </c>
      <c r="AG157" s="12">
        <f t="shared" si="801"/>
        <v>0.33699999999999986</v>
      </c>
    </row>
    <row r="158" spans="1:33" ht="15.75" thickBot="1" x14ac:dyDescent="0.3">
      <c r="A158" s="2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21"/>
    </row>
    <row r="159" spans="1:33" x14ac:dyDescent="0.25">
      <c r="A159" s="113" t="s">
        <v>27</v>
      </c>
      <c r="B159" s="61" t="s">
        <v>28</v>
      </c>
      <c r="C159" s="56"/>
      <c r="D159" s="91">
        <f>D142*T159</f>
        <v>23.018803499999997</v>
      </c>
      <c r="E159" s="91">
        <f t="shared" ref="E159" si="802">E142*U159</f>
        <v>24.40793123385356</v>
      </c>
      <c r="F159" s="91">
        <f t="shared" ref="F159" si="803">F142*V159</f>
        <v>25.89258004568639</v>
      </c>
      <c r="G159" s="91">
        <f t="shared" ref="G159" si="804">G142*W159</f>
        <v>27.480042237529879</v>
      </c>
      <c r="H159" s="91">
        <f t="shared" ref="H159" si="805">H142*X159</f>
        <v>29.178218302085892</v>
      </c>
      <c r="I159" s="91">
        <f t="shared" ref="I159" si="806">I142*Y159</f>
        <v>30.995671716788475</v>
      </c>
      <c r="J159" s="91">
        <f t="shared" ref="J159" si="807">J142*Z159</f>
        <v>32.941689025895897</v>
      </c>
      <c r="K159" s="91">
        <f t="shared" ref="K159" si="808">K142*AA159</f>
        <v>35.026345753703339</v>
      </c>
      <c r="L159" s="91">
        <f t="shared" ref="L159" si="809">L142*AB159</f>
        <v>37.260578751009902</v>
      </c>
      <c r="M159" s="91">
        <f t="shared" ref="M159" si="810">M142*AC159</f>
        <v>39.65626564278287</v>
      </c>
      <c r="N159" s="91">
        <f t="shared" ref="N159" si="811">N142*AD159</f>
        <v>42.226312118350826</v>
      </c>
      <c r="O159" s="91">
        <f t="shared" ref="O159" si="812">O142*AE159</f>
        <v>44.984747887342458</v>
      </c>
      <c r="P159" s="91">
        <f t="shared" ref="P159" si="813">P142*AF159</f>
        <v>47.946832216001731</v>
      </c>
      <c r="Q159" s="91">
        <f t="shared" ref="Q159" si="814">Q142*AG159</f>
        <v>51.12917006061712</v>
      </c>
      <c r="R159" s="78">
        <f>RATE(12,,-E159,Q159)</f>
        <v>6.355874041697826E-2</v>
      </c>
      <c r="S159" s="61" t="s">
        <v>28</v>
      </c>
      <c r="T159" s="12">
        <v>0.40099999999999997</v>
      </c>
      <c r="U159" s="12">
        <v>0.40265090533119946</v>
      </c>
      <c r="V159" s="12">
        <v>0.40430860739160734</v>
      </c>
      <c r="W159" s="12">
        <v>0.40597313416316017</v>
      </c>
      <c r="X159" s="12">
        <v>0.40764451374299493</v>
      </c>
      <c r="Y159" s="12">
        <v>0.40932277434392395</v>
      </c>
      <c r="Z159" s="12">
        <v>0.41100794429491083</v>
      </c>
      <c r="AA159" s="12">
        <v>0.4127000520415488</v>
      </c>
      <c r="AB159" s="12">
        <v>0.41439912614654062</v>
      </c>
      <c r="AC159" s="12">
        <v>0.41610519529018092</v>
      </c>
      <c r="AD159" s="12">
        <v>0.41781828827084017</v>
      </c>
      <c r="AE159" s="12">
        <v>0.4195384340054511</v>
      </c>
      <c r="AF159" s="12">
        <v>0.4212656615299965</v>
      </c>
      <c r="AG159" s="12">
        <v>0.42299999999999938</v>
      </c>
    </row>
    <row r="160" spans="1:33" x14ac:dyDescent="0.25">
      <c r="A160" s="114"/>
      <c r="B160" s="62" t="s">
        <v>29</v>
      </c>
      <c r="C160" s="47"/>
      <c r="D160" s="97">
        <f>D142*T160</f>
        <v>24.7409085</v>
      </c>
      <c r="E160" s="97">
        <f t="shared" ref="E160" si="815">E142*U160</f>
        <v>26.177097123133272</v>
      </c>
      <c r="F160" s="97">
        <f t="shared" ref="F160" si="816">F142*V160</f>
        <v>27.70916613265447</v>
      </c>
      <c r="G160" s="97">
        <f t="shared" ref="G160" si="817">G142*W160</f>
        <v>29.344258555764249</v>
      </c>
      <c r="H160" s="97">
        <f t="shared" ref="H160" si="818">H142*X160</f>
        <v>31.090100767705305</v>
      </c>
      <c r="I160" s="97">
        <f t="shared" ref="I160" si="819">I142*Y160</f>
        <v>32.955054081855209</v>
      </c>
      <c r="J160" s="97">
        <f t="shared" ref="J160" si="820">J142*Z160</f>
        <v>34.948171236395602</v>
      </c>
      <c r="K160" s="97">
        <f t="shared" ref="K160" si="821">K142*AA160</f>
        <v>37.079258272879294</v>
      </c>
      <c r="L160" s="97">
        <f t="shared" ref="L160" si="822">L142*AB160</f>
        <v>39.358942355122146</v>
      </c>
      <c r="M160" s="97">
        <f t="shared" ref="M160" si="823">M142*AC160</f>
        <v>41.798746135958233</v>
      </c>
      <c r="N160" s="97">
        <f t="shared" ref="N160" si="824">N142*AD160</f>
        <v>44.411169345230107</v>
      </c>
      <c r="O160" s="97">
        <f t="shared" ref="O160" si="825">O142*AE160</f>
        <v>47.209778345743608</v>
      </c>
      <c r="P160" s="97">
        <f t="shared" ref="P160" si="826">P142*AF160</f>
        <v>50.20930448570121</v>
      </c>
      <c r="Q160" s="97">
        <f t="shared" ref="Q160" si="827">Q142*AG160</f>
        <v>53.425752167358901</v>
      </c>
      <c r="R160" s="83">
        <f>RATE(12,,-E160,Q160)</f>
        <v>6.1253405155227501E-2</v>
      </c>
      <c r="S160" s="62" t="s">
        <v>29</v>
      </c>
      <c r="T160" s="12">
        <v>0.43099999999999999</v>
      </c>
      <c r="U160" s="12">
        <v>0.43183634674261745</v>
      </c>
      <c r="V160" s="12">
        <v>0.43267431639909548</v>
      </c>
      <c r="W160" s="12">
        <v>0.43351391211866536</v>
      </c>
      <c r="X160" s="12">
        <v>0.43435513705666956</v>
      </c>
      <c r="Y160" s="12">
        <v>0.43519799437457324</v>
      </c>
      <c r="Z160" s="12">
        <v>0.43604248723997657</v>
      </c>
      <c r="AA160" s="12">
        <v>0.43688861882662616</v>
      </c>
      <c r="AB160" s="12">
        <v>0.43773639231442729</v>
      </c>
      <c r="AC160" s="12">
        <v>0.43858581088945586</v>
      </c>
      <c r="AD160" s="12">
        <v>0.43943687774397006</v>
      </c>
      <c r="AE160" s="12">
        <v>0.44028959607642287</v>
      </c>
      <c r="AF160" s="12">
        <v>0.44114396909147369</v>
      </c>
      <c r="AG160" s="12">
        <v>0.44200000000000028</v>
      </c>
    </row>
    <row r="161" spans="1:33" ht="15.75" thickBot="1" x14ac:dyDescent="0.3">
      <c r="A161" s="115"/>
      <c r="B161" s="63" t="s">
        <v>30</v>
      </c>
      <c r="C161" s="51"/>
      <c r="D161" s="92">
        <f>D142*T161</f>
        <v>9.6437880000000025</v>
      </c>
      <c r="E161" s="92">
        <f t="shared" ref="E161" si="828">E142*U161</f>
        <v>10.033067643013167</v>
      </c>
      <c r="F161" s="92">
        <f t="shared" ref="F161" si="829">F142*V161</f>
        <v>10.439878393374526</v>
      </c>
      <c r="G161" s="92">
        <f t="shared" ref="G161" si="830">G142*W161</f>
        <v>10.865011442046248</v>
      </c>
      <c r="H161" s="92">
        <f t="shared" ref="H161" si="831">H142*X161</f>
        <v>11.309286707780235</v>
      </c>
      <c r="I161" s="92">
        <f t="shared" ref="I161" si="832">I142*Y161</f>
        <v>11.773552593804327</v>
      </c>
      <c r="J161" s="92">
        <f t="shared" ref="J161" si="833">J142*Z161</f>
        <v>12.258685485182475</v>
      </c>
      <c r="K161" s="92">
        <f t="shared" ref="K161" si="834">K142*AA161</f>
        <v>12.765588938949243</v>
      </c>
      <c r="L161" s="92">
        <f t="shared" ref="L161" si="835">L142*AB161</f>
        <v>13.295192511854065</v>
      </c>
      <c r="M161" s="92">
        <f t="shared" ref="M161" si="836">M142*AC161</f>
        <v>13.848450162241456</v>
      </c>
      <c r="N161" s="92">
        <f t="shared" ref="N161" si="837">N142*AD161</f>
        <v>14.426338153091001</v>
      </c>
      <c r="O161" s="92">
        <f t="shared" ref="O161" si="838">O142*AE161</f>
        <v>15.029852372374359</v>
      </c>
      <c r="P161" s="92">
        <f t="shared" ref="P161" si="839">P142*AF161</f>
        <v>15.660004974462719</v>
      </c>
      <c r="Q161" s="92">
        <f t="shared" ref="Q161" si="840">Q142*AG161</f>
        <v>16.317820232111913</v>
      </c>
      <c r="R161" s="79">
        <f>RATE(12,,-E161,Q161)</f>
        <v>4.1363537186938699E-2</v>
      </c>
      <c r="S161" s="63" t="s">
        <v>30</v>
      </c>
      <c r="T161" s="12">
        <f>1-SUM(T159:T160)</f>
        <v>0.16800000000000004</v>
      </c>
      <c r="U161" s="12">
        <f t="shared" ref="U161" si="841">1-SUM(U159:U160)</f>
        <v>0.16551274792618309</v>
      </c>
      <c r="V161" s="12">
        <f t="shared" ref="V161" si="842">1-SUM(V159:V160)</f>
        <v>0.16301707620929717</v>
      </c>
      <c r="W161" s="12">
        <f t="shared" ref="W161" si="843">1-SUM(W159:W160)</f>
        <v>0.16051295371817442</v>
      </c>
      <c r="X161" s="12">
        <f t="shared" ref="X161" si="844">1-SUM(X159:X160)</f>
        <v>0.15800034920033545</v>
      </c>
      <c r="Y161" s="12">
        <f t="shared" ref="Y161" si="845">1-SUM(Y159:Y160)</f>
        <v>0.15547923128150276</v>
      </c>
      <c r="Z161" s="12">
        <f t="shared" ref="Z161" si="846">1-SUM(Z159:Z160)</f>
        <v>0.15294956846511254</v>
      </c>
      <c r="AA161" s="12">
        <f t="shared" ref="AA161" si="847">1-SUM(AA159:AA160)</f>
        <v>0.15041132913182498</v>
      </c>
      <c r="AB161" s="12">
        <f t="shared" ref="AB161" si="848">1-SUM(AB159:AB160)</f>
        <v>0.14786448153903209</v>
      </c>
      <c r="AC161" s="12">
        <f t="shared" ref="AC161" si="849">1-SUM(AC159:AC160)</f>
        <v>0.14530899382036322</v>
      </c>
      <c r="AD161" s="12">
        <f t="shared" ref="AD161" si="850">1-SUM(AD159:AD160)</f>
        <v>0.14274483398518978</v>
      </c>
      <c r="AE161" s="12">
        <f t="shared" ref="AE161" si="851">1-SUM(AE159:AE160)</f>
        <v>0.14017196991812608</v>
      </c>
      <c r="AF161" s="12">
        <f t="shared" ref="AF161" si="852">1-SUM(AF159:AF160)</f>
        <v>0.13759036937852986</v>
      </c>
      <c r="AG161" s="12">
        <f t="shared" ref="AG161" si="853">1-SUM(AG159:AG160)</f>
        <v>0.13500000000000034</v>
      </c>
    </row>
    <row r="165" spans="1:33" ht="26.25" x14ac:dyDescent="0.4">
      <c r="A165" s="109" t="s">
        <v>61</v>
      </c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70"/>
    </row>
    <row r="166" spans="1:33" ht="24" thickBot="1" x14ac:dyDescent="0.4">
      <c r="A166" s="70"/>
      <c r="B166" s="70"/>
      <c r="C166" s="70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</row>
    <row r="167" spans="1:33" ht="15.75" x14ac:dyDescent="0.25">
      <c r="A167" s="49"/>
      <c r="B167" s="50"/>
      <c r="C167" s="100"/>
      <c r="D167" s="98">
        <v>2023</v>
      </c>
      <c r="E167" s="72">
        <v>2024</v>
      </c>
      <c r="F167" s="72">
        <v>2025</v>
      </c>
      <c r="G167" s="72">
        <v>2026</v>
      </c>
      <c r="H167" s="72">
        <v>2027</v>
      </c>
      <c r="I167" s="72">
        <v>2028</v>
      </c>
      <c r="J167" s="72">
        <v>2029</v>
      </c>
      <c r="K167" s="72">
        <v>2030</v>
      </c>
      <c r="L167" s="72">
        <v>2031</v>
      </c>
      <c r="M167" s="72">
        <v>2032</v>
      </c>
      <c r="N167" s="72">
        <v>2033</v>
      </c>
      <c r="O167" s="72">
        <v>2034</v>
      </c>
      <c r="P167" s="72">
        <v>2035</v>
      </c>
      <c r="Q167" s="72">
        <v>2036</v>
      </c>
      <c r="R167" s="73" t="s">
        <v>13</v>
      </c>
    </row>
    <row r="168" spans="1:33" ht="16.5" thickBot="1" x14ac:dyDescent="0.3">
      <c r="A168" s="26"/>
      <c r="B168" s="101"/>
      <c r="C168" s="102"/>
      <c r="D168" s="99">
        <f>'Market Analysis'!C26</f>
        <v>68.337500000000006</v>
      </c>
      <c r="E168" s="99">
        <f>'Market Analysis'!D26</f>
        <v>73.462812499999998</v>
      </c>
      <c r="F168" s="99">
        <f>'Market Analysis'!E26</f>
        <v>79.067129530084031</v>
      </c>
      <c r="G168" s="99">
        <f>'Market Analysis'!F26</f>
        <v>85.202559401109909</v>
      </c>
      <c r="H168" s="99">
        <f>'Market Analysis'!G26</f>
        <v>91.927609827014507</v>
      </c>
      <c r="I168" s="99">
        <f>'Market Analysis'!H26</f>
        <v>99.308058308923833</v>
      </c>
      <c r="J168" s="99">
        <f>'Market Analysis'!I26</f>
        <v>107.41795189395674</v>
      </c>
      <c r="K168" s="99">
        <f>'Market Analysis'!J26</f>
        <v>116.340757119038</v>
      </c>
      <c r="L168" s="99">
        <f>'Market Analysis'!K26</f>
        <v>126.17068454493293</v>
      </c>
      <c r="M168" s="99">
        <f>'Market Analysis'!L26</f>
        <v>137.01421654346916</v>
      </c>
      <c r="N168" s="99">
        <f>'Market Analysis'!M26</f>
        <v>148.99187205133418</v>
      </c>
      <c r="O168" s="99">
        <f>'Market Analysis'!N26</f>
        <v>162.24024800362179</v>
      </c>
      <c r="P168" s="99">
        <f>'Market Analysis'!O26</f>
        <v>176.91438429889973</v>
      </c>
      <c r="Q168" s="99">
        <f>'Market Analysis'!P26</f>
        <v>193.19050765439849</v>
      </c>
      <c r="R168" s="75">
        <f>RATE(12,,-E168,Q168)</f>
        <v>8.3909907656537136E-2</v>
      </c>
      <c r="T168" s="72">
        <v>2023</v>
      </c>
      <c r="U168" s="72">
        <v>2024</v>
      </c>
      <c r="V168" s="72">
        <v>2025</v>
      </c>
      <c r="W168" s="72">
        <v>2026</v>
      </c>
      <c r="X168" s="72">
        <v>2027</v>
      </c>
      <c r="Y168" s="72">
        <v>2028</v>
      </c>
      <c r="Z168" s="72">
        <v>2029</v>
      </c>
      <c r="AA168" s="72">
        <v>2030</v>
      </c>
      <c r="AB168" s="72">
        <v>2031</v>
      </c>
      <c r="AC168" s="72">
        <v>2032</v>
      </c>
      <c r="AD168" s="72">
        <v>2033</v>
      </c>
      <c r="AE168" s="72">
        <v>2034</v>
      </c>
      <c r="AF168" s="72">
        <v>2035</v>
      </c>
      <c r="AG168" s="72">
        <v>2036</v>
      </c>
    </row>
    <row r="169" spans="1:33" x14ac:dyDescent="0.25">
      <c r="A169" s="110" t="s">
        <v>51</v>
      </c>
      <c r="B169" s="59" t="s">
        <v>34</v>
      </c>
      <c r="C169" s="52"/>
      <c r="D169" s="86">
        <f>D168*T169</f>
        <v>38.269000000000005</v>
      </c>
      <c r="E169" s="86">
        <f t="shared" ref="E169" si="854">E168*U169</f>
        <v>41.206879332753786</v>
      </c>
      <c r="F169" s="86">
        <f t="shared" ref="F169" si="855">F168*V169</f>
        <v>44.423451156712098</v>
      </c>
      <c r="G169" s="86">
        <f t="shared" ref="G169" si="856">G168*W169</f>
        <v>47.949392698677684</v>
      </c>
      <c r="H169" s="86">
        <f t="shared" ref="H169" si="857">H168*X169</f>
        <v>51.819185970529595</v>
      </c>
      <c r="I169" s="86">
        <f t="shared" ref="I169" si="858">I168*Y169</f>
        <v>56.071639698183766</v>
      </c>
      <c r="J169" s="86">
        <f t="shared" ref="J169" si="859">J168*Z169</f>
        <v>60.750489420613214</v>
      </c>
      <c r="K169" s="86">
        <f t="shared" ref="K169" si="860">K168*AA169</f>
        <v>65.905088419054536</v>
      </c>
      <c r="L169" s="86">
        <f t="shared" ref="L169" si="861">L168*AB169</f>
        <v>71.591204337210655</v>
      </c>
      <c r="M169" s="86">
        <f t="shared" ref="M169" si="862">M168*AC169</f>
        <v>77.871938962065371</v>
      </c>
      <c r="N169" s="86">
        <f t="shared" ref="N169" si="863">N168*AD169</f>
        <v>84.818791732212986</v>
      </c>
      <c r="O169" s="86">
        <f t="shared" ref="O169" si="864">O168*AE169</f>
        <v>92.512891223450239</v>
      </c>
      <c r="P169" s="86">
        <f t="shared" ref="P169" si="865">P168*AF169</f>
        <v>101.04642324725644</v>
      </c>
      <c r="Q169" s="86">
        <f t="shared" ref="Q169" si="866">Q168*AG169</f>
        <v>110.52428942908119</v>
      </c>
      <c r="R169" s="84">
        <f>RATE(12,,-E169,Q169)</f>
        <v>8.5693740148633943E-2</v>
      </c>
      <c r="S169" s="59" t="s">
        <v>34</v>
      </c>
      <c r="T169" s="12">
        <v>0.56000000000000005</v>
      </c>
      <c r="U169" s="12">
        <v>0.56092161367703952</v>
      </c>
      <c r="V169" s="12">
        <v>0.56184474408938223</v>
      </c>
      <c r="W169" s="12">
        <v>0.56276939373317769</v>
      </c>
      <c r="X169" s="12">
        <v>0.56369556510868446</v>
      </c>
      <c r="Y169" s="12">
        <v>0.56462326072027491</v>
      </c>
      <c r="Z169" s="12">
        <v>0.56555248307644368</v>
      </c>
      <c r="AA169" s="12">
        <v>0.56648323468981299</v>
      </c>
      <c r="AB169" s="12">
        <v>0.56741551807714108</v>
      </c>
      <c r="AC169" s="12">
        <v>0.56834933575932756</v>
      </c>
      <c r="AD169" s="12">
        <v>0.56928469026142059</v>
      </c>
      <c r="AE169" s="12">
        <v>0.57022158411262425</v>
      </c>
      <c r="AF169" s="12">
        <v>0.57116001984630527</v>
      </c>
      <c r="AG169" s="12">
        <v>0.57209999999999905</v>
      </c>
    </row>
    <row r="170" spans="1:33" ht="15.75" thickBot="1" x14ac:dyDescent="0.3">
      <c r="A170" s="111"/>
      <c r="B170" s="60" t="s">
        <v>35</v>
      </c>
      <c r="C170" s="53"/>
      <c r="D170" s="87">
        <f>D168*T170</f>
        <v>30.0685</v>
      </c>
      <c r="E170" s="87">
        <f t="shared" ref="E170" si="867">E168*U170</f>
        <v>32.255933167246212</v>
      </c>
      <c r="F170" s="87">
        <f t="shared" ref="F170" si="868">F168*V170</f>
        <v>34.643678373371934</v>
      </c>
      <c r="G170" s="87">
        <f t="shared" ref="G170" si="869">G168*W170</f>
        <v>37.253166702432225</v>
      </c>
      <c r="H170" s="87">
        <f t="shared" ref="H170" si="870">H168*X170</f>
        <v>40.108423856484912</v>
      </c>
      <c r="I170" s="87">
        <f t="shared" ref="I170" si="871">I168*Y170</f>
        <v>43.236418610740067</v>
      </c>
      <c r="J170" s="87">
        <f t="shared" ref="J170" si="872">J168*Z170</f>
        <v>46.667462473343527</v>
      </c>
      <c r="K170" s="87">
        <f t="shared" ref="K170" si="873">K168*AA170</f>
        <v>50.435668699983466</v>
      </c>
      <c r="L170" s="87">
        <f t="shared" ref="L170" si="874">L168*AB170</f>
        <v>54.57948020772227</v>
      </c>
      <c r="M170" s="87">
        <f t="shared" ref="M170" si="875">M168*AC170</f>
        <v>59.142277581403796</v>
      </c>
      <c r="N170" s="87">
        <f t="shared" ref="N170" si="876">N168*AD170</f>
        <v>64.173080319121198</v>
      </c>
      <c r="O170" s="87">
        <f t="shared" ref="O170" si="877">O168*AE170</f>
        <v>69.727356780171547</v>
      </c>
      <c r="P170" s="87">
        <f t="shared" ref="P170" si="878">P168*AF170</f>
        <v>75.867961051643292</v>
      </c>
      <c r="Q170" s="87">
        <f t="shared" ref="Q170" si="879">Q168*AG170</f>
        <v>82.666218225317294</v>
      </c>
      <c r="R170" s="85">
        <f>RATE(12,,-E170,Q170)</f>
        <v>8.1583047550055257E-2</v>
      </c>
      <c r="S170" s="60" t="s">
        <v>35</v>
      </c>
      <c r="T170" s="12">
        <f>1-T169</f>
        <v>0.43999999999999995</v>
      </c>
      <c r="U170" s="12">
        <f t="shared" ref="U170" si="880">1-U169</f>
        <v>0.43907838632296048</v>
      </c>
      <c r="V170" s="12">
        <f t="shared" ref="V170" si="881">1-V169</f>
        <v>0.43815525591061777</v>
      </c>
      <c r="W170" s="12">
        <f t="shared" ref="W170" si="882">1-W169</f>
        <v>0.43723060626682231</v>
      </c>
      <c r="X170" s="12">
        <f t="shared" ref="X170" si="883">1-X169</f>
        <v>0.43630443489131554</v>
      </c>
      <c r="Y170" s="12">
        <f t="shared" ref="Y170" si="884">1-Y169</f>
        <v>0.43537673927972509</v>
      </c>
      <c r="Z170" s="12">
        <f t="shared" ref="Z170" si="885">1-Z169</f>
        <v>0.43444751692355632</v>
      </c>
      <c r="AA170" s="12">
        <f t="shared" ref="AA170" si="886">1-AA169</f>
        <v>0.43351676531018701</v>
      </c>
      <c r="AB170" s="12">
        <f t="shared" ref="AB170" si="887">1-AB169</f>
        <v>0.43258448192285892</v>
      </c>
      <c r="AC170" s="12">
        <f t="shared" ref="AC170" si="888">1-AC169</f>
        <v>0.43165066424067244</v>
      </c>
      <c r="AD170" s="12">
        <f t="shared" ref="AD170" si="889">1-AD169</f>
        <v>0.43071530973857941</v>
      </c>
      <c r="AE170" s="12">
        <f t="shared" ref="AE170" si="890">1-AE169</f>
        <v>0.42977841588737575</v>
      </c>
      <c r="AF170" s="12">
        <f t="shared" ref="AF170" si="891">1-AF169</f>
        <v>0.42883998015369473</v>
      </c>
      <c r="AG170" s="12">
        <f t="shared" ref="AG170" si="892">1-AG169</f>
        <v>0.42790000000000095</v>
      </c>
    </row>
    <row r="171" spans="1:33" ht="15.75" thickBot="1" x14ac:dyDescent="0.3">
      <c r="A171" s="1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21"/>
    </row>
    <row r="172" spans="1:33" x14ac:dyDescent="0.25">
      <c r="A172" s="110" t="s">
        <v>15</v>
      </c>
      <c r="B172" s="64" t="s">
        <v>16</v>
      </c>
      <c r="C172" s="54"/>
      <c r="D172" s="89">
        <f>D168*T172</f>
        <v>32.1869625</v>
      </c>
      <c r="E172" s="89">
        <f t="shared" ref="E172" si="893">E168*U172</f>
        <v>34.555776802884608</v>
      </c>
      <c r="F172" s="89">
        <f t="shared" ref="F172" si="894">F168*V172</f>
        <v>37.143304618478702</v>
      </c>
      <c r="G172" s="89">
        <f t="shared" ref="G172" si="895">G168*W172</f>
        <v>39.973108445182248</v>
      </c>
      <c r="H172" s="89">
        <f t="shared" ref="H172" si="896">H168*X172</f>
        <v>43.071620881257331</v>
      </c>
      <c r="I172" s="89">
        <f t="shared" ref="I172" si="897">I168*Y172</f>
        <v>46.468532207167975</v>
      </c>
      <c r="J172" s="89">
        <f t="shared" ref="J172" si="898">J168*Z172</f>
        <v>50.197235211983624</v>
      </c>
      <c r="K172" s="89">
        <f t="shared" ref="K172" si="899">K168*AA172</f>
        <v>54.295336418554115</v>
      </c>
      <c r="L172" s="89">
        <f t="shared" ref="L172" si="900">L168*AB172</f>
        <v>58.805244435211428</v>
      </c>
      <c r="M172" s="89">
        <f t="shared" ref="M172" si="901">M168*AC172</f>
        <v>63.774848023425527</v>
      </c>
      <c r="N172" s="89">
        <f t="shared" ref="N172" si="902">N168*AD172</f>
        <v>69.258298677400958</v>
      </c>
      <c r="O172" s="89">
        <f t="shared" ref="O172" si="903">O168*AE172</f>
        <v>75.316915130912108</v>
      </c>
      <c r="P172" s="89">
        <f t="shared" ref="P172" si="904">P168*AF172</f>
        <v>82.020230320728359</v>
      </c>
      <c r="Q172" s="89">
        <f t="shared" ref="Q172" si="905">Q168*AG172</f>
        <v>89.4472050439865</v>
      </c>
      <c r="R172" s="76">
        <f>RATE(12,,-E172,Q172)</f>
        <v>8.2481566556678307E-2</v>
      </c>
      <c r="S172" s="64" t="s">
        <v>16</v>
      </c>
      <c r="T172" s="12">
        <v>0.47099999999999992</v>
      </c>
      <c r="U172" s="12">
        <v>0.47038461538461535</v>
      </c>
      <c r="V172" s="12">
        <v>0.46976923076923072</v>
      </c>
      <c r="W172" s="12">
        <v>0.46915384615384609</v>
      </c>
      <c r="X172" s="12">
        <v>0.46853846153846151</v>
      </c>
      <c r="Y172" s="12">
        <v>0.46792307692307689</v>
      </c>
      <c r="Z172" s="12">
        <v>0.46730769230769226</v>
      </c>
      <c r="AA172" s="12">
        <v>0.46669230769230763</v>
      </c>
      <c r="AB172" s="12">
        <v>0.46607692307692306</v>
      </c>
      <c r="AC172" s="12">
        <v>0.46546153846153843</v>
      </c>
      <c r="AD172" s="12">
        <v>0.4648461538461538</v>
      </c>
      <c r="AE172" s="12">
        <v>0.46423076923076922</v>
      </c>
      <c r="AF172" s="12">
        <v>0.4636153846153846</v>
      </c>
      <c r="AG172" s="12">
        <v>0.46299999999999997</v>
      </c>
    </row>
    <row r="173" spans="1:33" ht="15.75" thickBot="1" x14ac:dyDescent="0.3">
      <c r="A173" s="111"/>
      <c r="B173" s="65" t="s">
        <v>17</v>
      </c>
      <c r="C173" s="55"/>
      <c r="D173" s="90">
        <f>D168*T173</f>
        <v>36.150537500000013</v>
      </c>
      <c r="E173" s="90">
        <f t="shared" ref="E173" si="906">E168*U173</f>
        <v>38.907035697115383</v>
      </c>
      <c r="F173" s="90">
        <f t="shared" ref="F173" si="907">F168*V173</f>
        <v>41.92382491160533</v>
      </c>
      <c r="G173" s="90">
        <f t="shared" ref="G173" si="908">G168*W173</f>
        <v>45.229450955927661</v>
      </c>
      <c r="H173" s="90">
        <f t="shared" ref="H173" si="909">H168*X173</f>
        <v>48.855988945757169</v>
      </c>
      <c r="I173" s="90">
        <f t="shared" ref="I173" si="910">I168*Y173</f>
        <v>52.839526101755858</v>
      </c>
      <c r="J173" s="90">
        <f t="shared" ref="J173" si="911">J168*Z173</f>
        <v>57.220716681973123</v>
      </c>
      <c r="K173" s="90">
        <f t="shared" ref="K173" si="912">K168*AA173</f>
        <v>62.045420700483888</v>
      </c>
      <c r="L173" s="90">
        <f t="shared" ref="L173" si="913">L168*AB173</f>
        <v>67.365440109721504</v>
      </c>
      <c r="M173" s="90">
        <f t="shared" ref="M173" si="914">M168*AC173</f>
        <v>73.239368520043641</v>
      </c>
      <c r="N173" s="90">
        <f t="shared" ref="N173" si="915">N168*AD173</f>
        <v>79.733573373933226</v>
      </c>
      <c r="O173" s="90">
        <f t="shared" ref="O173" si="916">O168*AE173</f>
        <v>86.923332872709679</v>
      </c>
      <c r="P173" s="90">
        <f t="shared" ref="P173" si="917">P168*AF173</f>
        <v>94.894153978171389</v>
      </c>
      <c r="Q173" s="90">
        <f t="shared" ref="Q173" si="918">Q168*AG173</f>
        <v>103.74330261041199</v>
      </c>
      <c r="R173" s="77">
        <f>RATE(12,,-E173,Q173)</f>
        <v>8.5161374957882757E-2</v>
      </c>
      <c r="S173" s="65" t="s">
        <v>17</v>
      </c>
      <c r="T173" s="12">
        <f>1-T172</f>
        <v>0.52900000000000014</v>
      </c>
      <c r="U173" s="12">
        <f t="shared" ref="U173" si="919">1-U172</f>
        <v>0.5296153846153846</v>
      </c>
      <c r="V173" s="12">
        <f t="shared" ref="V173" si="920">1-V172</f>
        <v>0.53023076923076928</v>
      </c>
      <c r="W173" s="12">
        <f t="shared" ref="W173" si="921">1-W172</f>
        <v>0.53084615384615397</v>
      </c>
      <c r="X173" s="12">
        <f t="shared" ref="X173" si="922">1-X172</f>
        <v>0.53146153846153843</v>
      </c>
      <c r="Y173" s="12">
        <f t="shared" ref="Y173" si="923">1-Y172</f>
        <v>0.53207692307692311</v>
      </c>
      <c r="Z173" s="12">
        <f t="shared" ref="Z173" si="924">1-Z172</f>
        <v>0.5326923076923078</v>
      </c>
      <c r="AA173" s="12">
        <f t="shared" ref="AA173" si="925">1-AA172</f>
        <v>0.53330769230769237</v>
      </c>
      <c r="AB173" s="12">
        <f t="shared" ref="AB173" si="926">1-AB172</f>
        <v>0.53392307692307694</v>
      </c>
      <c r="AC173" s="12">
        <f t="shared" ref="AC173" si="927">1-AC172</f>
        <v>0.53453846153846163</v>
      </c>
      <c r="AD173" s="12">
        <f t="shared" ref="AD173" si="928">1-AD172</f>
        <v>0.5351538461538462</v>
      </c>
      <c r="AE173" s="12">
        <f t="shared" ref="AE173" si="929">1-AE172</f>
        <v>0.53576923076923078</v>
      </c>
      <c r="AF173" s="12">
        <f t="shared" ref="AF173" si="930">1-AF172</f>
        <v>0.53638461538461546</v>
      </c>
      <c r="AG173" s="12">
        <f t="shared" ref="AG173" si="931">1-AG172</f>
        <v>0.53700000000000003</v>
      </c>
    </row>
    <row r="174" spans="1:33" ht="15.75" thickBot="1" x14ac:dyDescent="0.3">
      <c r="A174" s="1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21"/>
    </row>
    <row r="175" spans="1:33" x14ac:dyDescent="0.25">
      <c r="A175" s="110" t="s">
        <v>18</v>
      </c>
      <c r="B175" s="61" t="s">
        <v>19</v>
      </c>
      <c r="C175" s="56"/>
      <c r="D175" s="91">
        <f>D168*T175</f>
        <v>27.403337499999999</v>
      </c>
      <c r="E175" s="91">
        <f t="shared" ref="E175" si="932">E168*U175</f>
        <v>29.579867961301154</v>
      </c>
      <c r="F175" s="91">
        <f t="shared" ref="F175" si="933">F168*V175</f>
        <v>31.967521030760107</v>
      </c>
      <c r="G175" s="91">
        <f t="shared" ref="G175" si="934">G168*W175</f>
        <v>34.589950078791418</v>
      </c>
      <c r="H175" s="91">
        <f t="shared" ref="H175" si="935">H168*X175</f>
        <v>37.473785807489094</v>
      </c>
      <c r="I175" s="91">
        <f t="shared" ref="I175" si="936">I168*Y175</f>
        <v>40.649049941716875</v>
      </c>
      <c r="J175" s="91">
        <f t="shared" ref="J175" si="937">J168*Z175</f>
        <v>44.149631588304786</v>
      </c>
      <c r="K175" s="91">
        <f t="shared" ref="K175" si="938">K168*AA175</f>
        <v>48.013836517580174</v>
      </c>
      <c r="L175" s="91">
        <f t="shared" ref="L175" si="939">L168*AB175</f>
        <v>52.285021420731042</v>
      </c>
      <c r="M175" s="91">
        <f t="shared" ref="M175" si="940">M168*AC175</f>
        <v>57.012327332351376</v>
      </c>
      <c r="N175" s="91">
        <f t="shared" ref="N175" si="941">N168*AD175</f>
        <v>62.25152894675648</v>
      </c>
      <c r="O175" s="91">
        <f t="shared" ref="O175" si="942">O168*AE175</f>
        <v>68.066019580095499</v>
      </c>
      <c r="P175" s="91">
        <f t="shared" ref="P175" si="943">P168*AF175</f>
        <v>74.527955135848018</v>
      </c>
      <c r="Q175" s="91">
        <f t="shared" ref="Q175" si="944">Q168*AG175</f>
        <v>81.719584737810436</v>
      </c>
      <c r="R175" s="78">
        <f>RATE(12,,-E175,Q175)</f>
        <v>8.8372333205388745E-2</v>
      </c>
      <c r="S175" s="61" t="s">
        <v>19</v>
      </c>
      <c r="T175" s="12">
        <v>0.40099999999999997</v>
      </c>
      <c r="U175" s="12">
        <v>0.40265090533119946</v>
      </c>
      <c r="V175" s="12">
        <v>0.40430860739160734</v>
      </c>
      <c r="W175" s="12">
        <v>0.40597313416316017</v>
      </c>
      <c r="X175" s="12">
        <v>0.40764451374299493</v>
      </c>
      <c r="Y175" s="12">
        <v>0.40932277434392395</v>
      </c>
      <c r="Z175" s="12">
        <v>0.41100794429491083</v>
      </c>
      <c r="AA175" s="12">
        <v>0.4127000520415488</v>
      </c>
      <c r="AB175" s="12">
        <v>0.41439912614654062</v>
      </c>
      <c r="AC175" s="12">
        <v>0.41610519529018092</v>
      </c>
      <c r="AD175" s="12">
        <v>0.41781828827084017</v>
      </c>
      <c r="AE175" s="12">
        <v>0.4195384340054511</v>
      </c>
      <c r="AF175" s="12">
        <v>0.4212656615299965</v>
      </c>
      <c r="AG175" s="12">
        <v>0.42299999999999938</v>
      </c>
    </row>
    <row r="176" spans="1:33" ht="15.75" thickBot="1" x14ac:dyDescent="0.3">
      <c r="A176" s="111"/>
      <c r="B176" s="63" t="s">
        <v>20</v>
      </c>
      <c r="C176" s="51"/>
      <c r="D176" s="92">
        <f>D168*T176</f>
        <v>40.934162499999999</v>
      </c>
      <c r="E176" s="92">
        <f t="shared" ref="E176" si="945">E168*U176</f>
        <v>43.882944538698837</v>
      </c>
      <c r="F176" s="92">
        <f t="shared" ref="F176" si="946">F168*V176</f>
        <v>47.099608499323921</v>
      </c>
      <c r="G176" s="92">
        <f t="shared" ref="G176" si="947">G168*W176</f>
        <v>50.612609322318491</v>
      </c>
      <c r="H176" s="92">
        <f t="shared" ref="H176" si="948">H168*X176</f>
        <v>54.453824019525413</v>
      </c>
      <c r="I176" s="92">
        <f t="shared" ref="I176" si="949">I168*Y176</f>
        <v>58.659008367206958</v>
      </c>
      <c r="J176" s="92">
        <f t="shared" ref="J176" si="950">J168*Z176</f>
        <v>63.268320305651955</v>
      </c>
      <c r="K176" s="92">
        <f t="shared" ref="K176" si="951">K168*AA176</f>
        <v>68.326920601457829</v>
      </c>
      <c r="L176" s="92">
        <f t="shared" ref="L176" si="952">L168*AB176</f>
        <v>73.885663124201884</v>
      </c>
      <c r="M176" s="92">
        <f t="shared" ref="M176" si="953">M168*AC176</f>
        <v>80.001889211117799</v>
      </c>
      <c r="N176" s="92">
        <f t="shared" ref="N176" si="954">N168*AD176</f>
        <v>86.740343104577718</v>
      </c>
      <c r="O176" s="92">
        <f t="shared" ref="O176" si="955">O168*AE176</f>
        <v>94.174228423526287</v>
      </c>
      <c r="P176" s="92">
        <f t="shared" ref="P176" si="956">P168*AF176</f>
        <v>102.3864291630517</v>
      </c>
      <c r="Q176" s="92">
        <f t="shared" ref="Q176" si="957">Q168*AG176</f>
        <v>111.47092291658805</v>
      </c>
      <c r="R176" s="79">
        <f>RATE(12,,-E176,Q176)</f>
        <v>8.0783783294638922E-2</v>
      </c>
      <c r="S176" s="63" t="s">
        <v>20</v>
      </c>
      <c r="T176" s="12">
        <f>1-T175</f>
        <v>0.59899999999999998</v>
      </c>
      <c r="U176" s="12">
        <f t="shared" ref="U176" si="958">1-U175</f>
        <v>0.59734909466880048</v>
      </c>
      <c r="V176" s="12">
        <f t="shared" ref="V176" si="959">1-V175</f>
        <v>0.59569139260839266</v>
      </c>
      <c r="W176" s="12">
        <f t="shared" ref="W176" si="960">1-W175</f>
        <v>0.59402686583683983</v>
      </c>
      <c r="X176" s="12">
        <f t="shared" ref="X176" si="961">1-X175</f>
        <v>0.59235548625700507</v>
      </c>
      <c r="Y176" s="12">
        <f t="shared" ref="Y176" si="962">1-Y175</f>
        <v>0.59067722565607605</v>
      </c>
      <c r="Z176" s="12">
        <f t="shared" ref="Z176" si="963">1-Z175</f>
        <v>0.58899205570508917</v>
      </c>
      <c r="AA176" s="12">
        <f t="shared" ref="AA176" si="964">1-AA175</f>
        <v>0.5872999479584512</v>
      </c>
      <c r="AB176" s="12">
        <f t="shared" ref="AB176" si="965">1-AB175</f>
        <v>0.58560087385345938</v>
      </c>
      <c r="AC176" s="12">
        <f t="shared" ref="AC176" si="966">1-AC175</f>
        <v>0.58389480470981914</v>
      </c>
      <c r="AD176" s="12">
        <f t="shared" ref="AD176" si="967">1-AD175</f>
        <v>0.58218171172915989</v>
      </c>
      <c r="AE176" s="12">
        <f t="shared" ref="AE176" si="968">1-AE175</f>
        <v>0.5804615659945489</v>
      </c>
      <c r="AF176" s="12">
        <f t="shared" ref="AF176" si="969">1-AF175</f>
        <v>0.57873433847000344</v>
      </c>
      <c r="AG176" s="12">
        <f t="shared" ref="AG176" si="970">1-AG175</f>
        <v>0.57700000000000062</v>
      </c>
    </row>
    <row r="177" spans="1:33" ht="15.75" thickBot="1" x14ac:dyDescent="0.3">
      <c r="A177" s="2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21"/>
    </row>
    <row r="178" spans="1:33" x14ac:dyDescent="0.25">
      <c r="A178" s="110" t="s">
        <v>14</v>
      </c>
      <c r="B178" s="66" t="s">
        <v>21</v>
      </c>
      <c r="C178" s="57"/>
      <c r="D178" s="93">
        <f>D168*T178</f>
        <v>17.084375000000001</v>
      </c>
      <c r="E178" s="93">
        <f t="shared" ref="E178" si="971">E168*U178</f>
        <v>18.480006515043481</v>
      </c>
      <c r="F178" s="93">
        <f t="shared" ref="F178" si="972">F168*V178</f>
        <v>20.013594738558485</v>
      </c>
      <c r="G178" s="93">
        <f t="shared" ref="G178" si="973">G168*W178</f>
        <v>21.70082925686043</v>
      </c>
      <c r="H178" s="93">
        <f t="shared" ref="H178" si="974">H168*X178</f>
        <v>23.559399558050973</v>
      </c>
      <c r="I178" s="93">
        <f t="shared" ref="I178" si="975">I168*Y178</f>
        <v>25.609275963439799</v>
      </c>
      <c r="J178" s="93">
        <f t="shared" ref="J178" si="976">J168*Z178</f>
        <v>27.873033530676821</v>
      </c>
      <c r="K178" s="93">
        <f t="shared" ref="K178" si="977">K168*AA178</f>
        <v>30.37622602177796</v>
      </c>
      <c r="L178" s="93">
        <f t="shared" ref="L178" si="978">L168*AB178</f>
        <v>33.147818283839712</v>
      </c>
      <c r="M178" s="93">
        <f t="shared" ref="M178" si="979">M168*AC178</f>
        <v>36.220686881284351</v>
      </c>
      <c r="N178" s="93">
        <f t="shared" ref="N178" si="980">N168*AD178</f>
        <v>39.632200593209831</v>
      </c>
      <c r="O178" s="93">
        <f t="shared" ref="O178" si="981">O168*AE178</f>
        <v>43.424894505059122</v>
      </c>
      <c r="P178" s="93">
        <f t="shared" ref="P178" si="982">P168*AF178</f>
        <v>47.647253949788876</v>
      </c>
      <c r="Q178" s="93">
        <f t="shared" ref="Q178" si="983">Q168*AG178</f>
        <v>52.354627574342018</v>
      </c>
      <c r="R178" s="80">
        <f t="shared" ref="R178:R183" si="984">RATE(12,,-E178,Q178)</f>
        <v>9.0655882816267422E-2</v>
      </c>
      <c r="S178" s="66" t="s">
        <v>21</v>
      </c>
      <c r="T178" s="12">
        <v>0.25</v>
      </c>
      <c r="U178" s="12">
        <v>0.25155593539307364</v>
      </c>
      <c r="V178" s="12">
        <v>0.25312155452593693</v>
      </c>
      <c r="W178" s="12">
        <v>0.25469691766768382</v>
      </c>
      <c r="X178" s="12">
        <v>0.25628208546250747</v>
      </c>
      <c r="Y178" s="12">
        <v>0.2578771189320348</v>
      </c>
      <c r="Z178" s="12">
        <v>0.25948207947767565</v>
      </c>
      <c r="AA178" s="12">
        <v>0.2610970288829863</v>
      </c>
      <c r="AB178" s="12">
        <v>0.26272202931604799</v>
      </c>
      <c r="AC178" s="12">
        <v>0.26435714333185978</v>
      </c>
      <c r="AD178" s="12">
        <v>0.26600243387474731</v>
      </c>
      <c r="AE178" s="12">
        <v>0.26765796428078514</v>
      </c>
      <c r="AF178" s="12">
        <v>0.26932379828023517</v>
      </c>
      <c r="AG178" s="12">
        <v>0.27100000000000013</v>
      </c>
    </row>
    <row r="179" spans="1:33" x14ac:dyDescent="0.25">
      <c r="A179" s="112"/>
      <c r="B179" s="67" t="s">
        <v>22</v>
      </c>
      <c r="C179" s="48"/>
      <c r="D179" s="94">
        <f>D168*T179</f>
        <v>25.968250000000001</v>
      </c>
      <c r="E179" s="94">
        <f t="shared" ref="E179" si="985">E168*U179</f>
        <v>27.98271178295348</v>
      </c>
      <c r="F179" s="94">
        <f t="shared" ref="F179" si="986">F168*V179</f>
        <v>30.189566166472858</v>
      </c>
      <c r="G179" s="94">
        <f t="shared" ref="G179" si="987">G168*W179</f>
        <v>32.610104616393357</v>
      </c>
      <c r="H179" s="94">
        <f t="shared" ref="H179" si="988">H168*X179</f>
        <v>35.268271162959756</v>
      </c>
      <c r="I179" s="94">
        <f t="shared" ref="I179" si="989">I168*Y179</f>
        <v>38.191027688035042</v>
      </c>
      <c r="J179" s="94">
        <f t="shared" ref="J179" si="990">J168*Z179</f>
        <v>41.408774110826585</v>
      </c>
      <c r="K179" s="94">
        <f t="shared" ref="K179" si="991">K168*AA179</f>
        <v>44.955832390981158</v>
      </c>
      <c r="L179" s="94">
        <f t="shared" ref="L179" si="992">L168*AB179</f>
        <v>48.871004822656893</v>
      </c>
      <c r="M179" s="94">
        <f t="shared" ref="M179" si="993">M168*AC179</f>
        <v>53.198218937027555</v>
      </c>
      <c r="N179" s="94">
        <f t="shared" ref="N179" si="994">N168*AD179</f>
        <v>57.987273520673213</v>
      </c>
      <c r="O179" s="94">
        <f t="shared" ref="O179" si="995">O168*AE179</f>
        <v>63.294702862419328</v>
      </c>
      <c r="P179" s="94">
        <f t="shared" ref="P179" si="996">P168*AF179</f>
        <v>69.184779444886289</v>
      </c>
      <c r="Q179" s="94">
        <f t="shared" ref="Q179" si="997">Q168*AG179</f>
        <v>75.730679000524205</v>
      </c>
      <c r="R179" s="81">
        <f t="shared" si="984"/>
        <v>8.6505271115396035E-2</v>
      </c>
      <c r="S179" s="67" t="s">
        <v>22</v>
      </c>
      <c r="T179" s="12">
        <v>0.38</v>
      </c>
      <c r="U179" s="12">
        <v>0.38090988938047371</v>
      </c>
      <c r="V179" s="12">
        <v>0.38182195744169661</v>
      </c>
      <c r="W179" s="12">
        <v>0.38273620940040159</v>
      </c>
      <c r="X179" s="12">
        <v>0.38365265048581265</v>
      </c>
      <c r="Y179" s="12">
        <v>0.38457128593967477</v>
      </c>
      <c r="Z179" s="12">
        <v>0.38549212101628438</v>
      </c>
      <c r="AA179" s="12">
        <v>0.38641516098251855</v>
      </c>
      <c r="AB179" s="12">
        <v>0.38734041111786593</v>
      </c>
      <c r="AC179" s="12">
        <v>0.38826787671445667</v>
      </c>
      <c r="AD179" s="12">
        <v>0.38919756307709236</v>
      </c>
      <c r="AE179" s="12">
        <v>0.39012947552327681</v>
      </c>
      <c r="AF179" s="12">
        <v>0.3910636193832463</v>
      </c>
      <c r="AG179" s="12">
        <v>0.39200000000000002</v>
      </c>
    </row>
    <row r="180" spans="1:33" x14ac:dyDescent="0.25">
      <c r="A180" s="112"/>
      <c r="B180" s="68" t="s">
        <v>23</v>
      </c>
      <c r="C180" s="48"/>
      <c r="D180" s="95">
        <f>D179*T180</f>
        <v>9.0888874999999967</v>
      </c>
      <c r="E180" s="95">
        <f t="shared" ref="E180" si="998">E179*U180</f>
        <v>9.7767644894132744</v>
      </c>
      <c r="F180" s="95">
        <f t="shared" ref="F180" si="999">F179*V180</f>
        <v>10.529300889717279</v>
      </c>
      <c r="G180" s="95">
        <f t="shared" ref="G180" si="1000">G179*W180</f>
        <v>11.353562796477899</v>
      </c>
      <c r="H180" s="95">
        <f t="shared" ref="H180" si="1001">H179*X180</f>
        <v>12.257487401479043</v>
      </c>
      <c r="I180" s="95">
        <f t="shared" ref="I180" si="1002">I179*Y180</f>
        <v>13.250001862259417</v>
      </c>
      <c r="J180" s="95">
        <f t="shared" ref="J180" si="1003">J179*Z180</f>
        <v>14.341159892307758</v>
      </c>
      <c r="K180" s="95">
        <f t="shared" ref="K180" si="1004">K179*AA180</f>
        <v>15.542298929872198</v>
      </c>
      <c r="L180" s="95">
        <f t="shared" ref="L180" si="1005">L179*AB180</f>
        <v>16.866221238231439</v>
      </c>
      <c r="M180" s="95">
        <f t="shared" ref="M180" si="1006">M179*AC180</f>
        <v>18.327402876622667</v>
      </c>
      <c r="N180" s="95">
        <f t="shared" ref="N180" si="1007">N179*AD180</f>
        <v>19.942235176771621</v>
      </c>
      <c r="O180" s="95">
        <f t="shared" ref="O180" si="1008">O179*AE180</f>
        <v>21.729304186794778</v>
      </c>
      <c r="P180" s="95">
        <f t="shared" ref="P180" si="1009">P179*AF180</f>
        <v>23.709714528352908</v>
      </c>
      <c r="Q180" s="95">
        <f t="shared" ref="Q180" si="1010">Q179*AG180</f>
        <v>25.907465286079315</v>
      </c>
      <c r="R180" s="81">
        <f t="shared" si="984"/>
        <v>8.4598869942504817E-2</v>
      </c>
      <c r="S180" s="68" t="s">
        <v>23</v>
      </c>
      <c r="T180" s="74">
        <v>0.34999999999999987</v>
      </c>
      <c r="U180" s="74">
        <v>0.34938588387166564</v>
      </c>
      <c r="V180" s="74">
        <v>0.34877284528224306</v>
      </c>
      <c r="W180" s="74">
        <v>0.34816088234106346</v>
      </c>
      <c r="X180" s="74">
        <v>0.34754999316077562</v>
      </c>
      <c r="Y180" s="74">
        <v>0.34694017585733994</v>
      </c>
      <c r="Z180" s="74">
        <v>0.34633142855002247</v>
      </c>
      <c r="AA180" s="74">
        <v>0.34572374936138933</v>
      </c>
      <c r="AB180" s="74">
        <v>0.34511713641730069</v>
      </c>
      <c r="AC180" s="74">
        <v>0.34451158784690528</v>
      </c>
      <c r="AD180" s="74">
        <v>0.34390710178263434</v>
      </c>
      <c r="AE180" s="74">
        <v>0.34330367636019604</v>
      </c>
      <c r="AF180" s="74">
        <v>0.34270130971856966</v>
      </c>
      <c r="AG180" s="74">
        <v>0.34209999999999979</v>
      </c>
    </row>
    <row r="181" spans="1:33" x14ac:dyDescent="0.25">
      <c r="A181" s="112"/>
      <c r="B181" s="68" t="s">
        <v>24</v>
      </c>
      <c r="C181" s="48"/>
      <c r="D181" s="95">
        <f>D179*T181</f>
        <v>7.2711100000000011</v>
      </c>
      <c r="E181" s="95">
        <f t="shared" ref="E181" si="1011">E179*U181</f>
        <v>7.8625596433443814</v>
      </c>
      <c r="F181" s="95">
        <f t="shared" ref="F181" si="1012">F179*V181</f>
        <v>8.5123044456030854</v>
      </c>
      <c r="G181" s="95">
        <f t="shared" ref="G181" si="1013">G179*W181</f>
        <v>9.2269589846368447</v>
      </c>
      <c r="H181" s="95">
        <f t="shared" ref="H181" si="1014">H179*X181</f>
        <v>10.013979350292399</v>
      </c>
      <c r="I181" s="95">
        <f t="shared" ref="I181" si="1015">I179*Y181</f>
        <v>10.881781155609993</v>
      </c>
      <c r="J181" s="95">
        <f t="shared" ref="J181" si="1016">J179*Z181</f>
        <v>11.83987557232463</v>
      </c>
      <c r="K181" s="95">
        <f t="shared" ref="K181" si="1017">K179*AA181</f>
        <v>12.899026361864232</v>
      </c>
      <c r="L181" s="95">
        <f t="shared" ref="L181" si="1018">L179*AB181</f>
        <v>14.071431397935736</v>
      </c>
      <c r="M181" s="95">
        <f t="shared" ref="M181" si="1019">M179*AC181</f>
        <v>15.370932800481755</v>
      </c>
      <c r="N181" s="95">
        <f t="shared" ref="N181" si="1020">N179*AD181</f>
        <v>16.813260543011452</v>
      </c>
      <c r="O181" s="95">
        <f t="shared" ref="O181" si="1021">O179*AE181</f>
        <v>18.416315279942921</v>
      </c>
      <c r="P181" s="95">
        <f t="shared" ref="P181" si="1022">P179*AF181</f>
        <v>20.200497196608111</v>
      </c>
      <c r="Q181" s="95">
        <f t="shared" ref="Q181" si="1023">Q179*AG181</f>
        <v>22.189088947153564</v>
      </c>
      <c r="R181" s="81">
        <f t="shared" si="984"/>
        <v>9.0304889891140883E-2</v>
      </c>
      <c r="S181" s="68" t="s">
        <v>24</v>
      </c>
      <c r="T181" s="74">
        <v>0.28000000000000003</v>
      </c>
      <c r="U181" s="74">
        <v>0.28097918830490543</v>
      </c>
      <c r="V181" s="74">
        <v>0.28196180093029821</v>
      </c>
      <c r="W181" s="74">
        <v>0.28294784985137333</v>
      </c>
      <c r="X181" s="74">
        <v>0.28393734708520407</v>
      </c>
      <c r="Y181" s="74">
        <v>0.28493030469088876</v>
      </c>
      <c r="Z181" s="74">
        <v>0.28592673476969749</v>
      </c>
      <c r="AA181" s="74">
        <v>0.28692664946521995</v>
      </c>
      <c r="AB181" s="74">
        <v>0.28793006096351298</v>
      </c>
      <c r="AC181" s="74">
        <v>0.28893698149324931</v>
      </c>
      <c r="AD181" s="74">
        <v>0.28994742332586665</v>
      </c>
      <c r="AE181" s="74">
        <v>0.29096139877571725</v>
      </c>
      <c r="AF181" s="74">
        <v>0.29197892020021765</v>
      </c>
      <c r="AG181" s="74">
        <v>0.29299999999999965</v>
      </c>
    </row>
    <row r="182" spans="1:33" x14ac:dyDescent="0.25">
      <c r="A182" s="112"/>
      <c r="B182" s="68" t="s">
        <v>25</v>
      </c>
      <c r="C182" s="48"/>
      <c r="D182" s="95">
        <f>D179*T182</f>
        <v>9.6082525000000025</v>
      </c>
      <c r="E182" s="95">
        <f t="shared" ref="E182" si="1024">E179*U182</f>
        <v>10.343387650195826</v>
      </c>
      <c r="F182" s="95">
        <f t="shared" ref="F182" si="1025">F179*V182</f>
        <v>11.147960831152494</v>
      </c>
      <c r="G182" s="95">
        <f t="shared" ref="G182" si="1026">G179*W182</f>
        <v>12.029582835278616</v>
      </c>
      <c r="H182" s="95">
        <f t="shared" ref="H182" si="1027">H179*X182</f>
        <v>12.996804411188313</v>
      </c>
      <c r="I182" s="95">
        <f t="shared" ref="I182" si="1028">I179*Y182</f>
        <v>14.059244670165633</v>
      </c>
      <c r="J182" s="95">
        <f t="shared" ref="J182" si="1029">J179*Z182</f>
        <v>15.227738646194199</v>
      </c>
      <c r="K182" s="95">
        <f t="shared" ref="K182" si="1030">K179*AA182</f>
        <v>16.514507099244732</v>
      </c>
      <c r="L182" s="95">
        <f t="shared" ref="L182" si="1031">L179*AB182</f>
        <v>17.933352186489721</v>
      </c>
      <c r="M182" s="95">
        <f t="shared" ref="M182" si="1032">M179*AC182</f>
        <v>19.499883259923131</v>
      </c>
      <c r="N182" s="95">
        <f t="shared" ref="N182" si="1033">N179*AD182</f>
        <v>21.231777800890136</v>
      </c>
      <c r="O182" s="95">
        <f t="shared" ref="O182" si="1034">O179*AE182</f>
        <v>23.149083395681622</v>
      </c>
      <c r="P182" s="95">
        <f t="shared" ref="P182" si="1035">P179*AF182</f>
        <v>25.274567719925273</v>
      </c>
      <c r="Q182" s="95">
        <f t="shared" ref="Q182" si="1036">Q179*AG182</f>
        <v>27.634124767291325</v>
      </c>
      <c r="R182" s="81">
        <f t="shared" si="984"/>
        <v>8.5338584440428217E-2</v>
      </c>
      <c r="S182" s="68" t="s">
        <v>25</v>
      </c>
      <c r="T182" s="74">
        <f>1-SUM(T180:T181)</f>
        <v>0.37000000000000011</v>
      </c>
      <c r="U182" s="74">
        <f t="shared" ref="U182" si="1037">1-SUM(U180:U181)</f>
        <v>0.36963492782342899</v>
      </c>
      <c r="V182" s="74">
        <f t="shared" ref="V182" si="1038">1-SUM(V180:V181)</f>
        <v>0.36926535378745873</v>
      </c>
      <c r="W182" s="74">
        <f t="shared" ref="W182" si="1039">1-SUM(W180:W181)</f>
        <v>0.36889126780756321</v>
      </c>
      <c r="X182" s="74">
        <f t="shared" ref="X182" si="1040">1-SUM(X180:X181)</f>
        <v>0.36851265975402026</v>
      </c>
      <c r="Y182" s="74">
        <f t="shared" ref="Y182" si="1041">1-SUM(Y180:Y181)</f>
        <v>0.3681295194517713</v>
      </c>
      <c r="Z182" s="74">
        <f t="shared" ref="Z182" si="1042">1-SUM(Z180:Z181)</f>
        <v>0.36774183668028004</v>
      </c>
      <c r="AA182" s="74">
        <f t="shared" ref="AA182" si="1043">1-SUM(AA180:AA181)</f>
        <v>0.36734960117339077</v>
      </c>
      <c r="AB182" s="74">
        <f t="shared" ref="AB182" si="1044">1-SUM(AB180:AB181)</f>
        <v>0.36695280261918639</v>
      </c>
      <c r="AC182" s="74">
        <f t="shared" ref="AC182" si="1045">1-SUM(AC180:AC181)</f>
        <v>0.36655143065984541</v>
      </c>
      <c r="AD182" s="74">
        <f t="shared" ref="AD182" si="1046">1-SUM(AD180:AD181)</f>
        <v>0.36614547489149896</v>
      </c>
      <c r="AE182" s="74">
        <f t="shared" ref="AE182" si="1047">1-SUM(AE180:AE181)</f>
        <v>0.36573492486408665</v>
      </c>
      <c r="AF182" s="74">
        <f t="shared" ref="AF182" si="1048">1-SUM(AF180:AF181)</f>
        <v>0.36531977008121275</v>
      </c>
      <c r="AG182" s="74">
        <f t="shared" ref="AG182" si="1049">1-SUM(AG180:AG181)</f>
        <v>0.36490000000000056</v>
      </c>
    </row>
    <row r="183" spans="1:33" ht="15.75" thickBot="1" x14ac:dyDescent="0.3">
      <c r="A183" s="111"/>
      <c r="B183" s="69" t="s">
        <v>26</v>
      </c>
      <c r="C183" s="58"/>
      <c r="D183" s="96">
        <f>D168*T183</f>
        <v>25.284875000000003</v>
      </c>
      <c r="E183" s="96">
        <f t="shared" ref="E183" si="1050">E168*U183</f>
        <v>27.000094202003041</v>
      </c>
      <c r="F183" s="96">
        <f t="shared" ref="F183" si="1051">F168*V183</f>
        <v>28.863968625052689</v>
      </c>
      <c r="G183" s="96">
        <f t="shared" ref="G183" si="1052">G168*W183</f>
        <v>30.891625527856121</v>
      </c>
      <c r="H183" s="96">
        <f t="shared" ref="H183" si="1053">H168*X183</f>
        <v>33.099939106003788</v>
      </c>
      <c r="I183" s="96">
        <f t="shared" ref="I183" si="1054">I168*Y183</f>
        <v>35.507754657448984</v>
      </c>
      <c r="J183" s="96">
        <f t="shared" ref="J183" si="1055">J168*Z183</f>
        <v>38.136144252453335</v>
      </c>
      <c r="K183" s="96">
        <f t="shared" ref="K183" si="1056">K168*AA183</f>
        <v>41.008698706278885</v>
      </c>
      <c r="L183" s="96">
        <f t="shared" ref="L183" si="1057">L168*AB183</f>
        <v>44.15186143843632</v>
      </c>
      <c r="M183" s="96">
        <f t="shared" ref="M183" si="1058">M168*AC183</f>
        <v>47.595310725157262</v>
      </c>
      <c r="N183" s="96">
        <f t="shared" ref="N183" si="1059">N168*AD183</f>
        <v>51.372397937451147</v>
      </c>
      <c r="O183" s="96">
        <f t="shared" ref="O183" si="1060">O168*AE183</f>
        <v>55.520650636143337</v>
      </c>
      <c r="P183" s="96">
        <f t="shared" ref="P183" si="1061">P168*AF183</f>
        <v>60.082350904224576</v>
      </c>
      <c r="Q183" s="96">
        <f t="shared" ref="Q183" si="1062">Q168*AG183</f>
        <v>65.105201079532264</v>
      </c>
      <c r="R183" s="82">
        <f t="shared" si="984"/>
        <v>7.6103887783096277E-2</v>
      </c>
      <c r="S183" s="69" t="s">
        <v>26</v>
      </c>
      <c r="T183" s="12">
        <f>1-SUM(T178+T179)</f>
        <v>0.37</v>
      </c>
      <c r="U183" s="12">
        <f t="shared" ref="U183:AG183" si="1063">1-SUM(U178+U179)</f>
        <v>0.36753417522645271</v>
      </c>
      <c r="V183" s="12">
        <f t="shared" si="1063"/>
        <v>0.36505648803236646</v>
      </c>
      <c r="W183" s="12">
        <f t="shared" si="1063"/>
        <v>0.36256687293191459</v>
      </c>
      <c r="X183" s="12">
        <f t="shared" si="1063"/>
        <v>0.36006526405167993</v>
      </c>
      <c r="Y183" s="12">
        <f t="shared" si="1063"/>
        <v>0.35755159512829038</v>
      </c>
      <c r="Z183" s="12">
        <f t="shared" si="1063"/>
        <v>0.35502579950603996</v>
      </c>
      <c r="AA183" s="12">
        <f t="shared" si="1063"/>
        <v>0.35248781013449515</v>
      </c>
      <c r="AB183" s="12">
        <f t="shared" si="1063"/>
        <v>0.34993755956608608</v>
      </c>
      <c r="AC183" s="12">
        <f t="shared" si="1063"/>
        <v>0.3473749799536836</v>
      </c>
      <c r="AD183" s="12">
        <f t="shared" si="1063"/>
        <v>0.34480000304816039</v>
      </c>
      <c r="AE183" s="12">
        <f t="shared" si="1063"/>
        <v>0.34221256019593804</v>
      </c>
      <c r="AF183" s="12">
        <f t="shared" si="1063"/>
        <v>0.33961258233651859</v>
      </c>
      <c r="AG183" s="12">
        <f t="shared" si="1063"/>
        <v>0.33699999999999986</v>
      </c>
    </row>
    <row r="184" spans="1:33" ht="15.75" thickBot="1" x14ac:dyDescent="0.3">
      <c r="A184" s="2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21"/>
    </row>
    <row r="185" spans="1:33" x14ac:dyDescent="0.25">
      <c r="A185" s="113" t="s">
        <v>27</v>
      </c>
      <c r="B185" s="61" t="s">
        <v>28</v>
      </c>
      <c r="C185" s="56"/>
      <c r="D185" s="91">
        <f>D168*T185</f>
        <v>27.403337499999999</v>
      </c>
      <c r="E185" s="91">
        <f t="shared" ref="E185" si="1064">E168*U185</f>
        <v>29.579867961301154</v>
      </c>
      <c r="F185" s="91">
        <f t="shared" ref="F185" si="1065">F168*V185</f>
        <v>31.967521030760107</v>
      </c>
      <c r="G185" s="91">
        <f t="shared" ref="G185" si="1066">G168*W185</f>
        <v>34.589950078791418</v>
      </c>
      <c r="H185" s="91">
        <f t="shared" ref="H185" si="1067">H168*X185</f>
        <v>37.473785807489094</v>
      </c>
      <c r="I185" s="91">
        <f t="shared" ref="I185" si="1068">I168*Y185</f>
        <v>40.649049941716875</v>
      </c>
      <c r="J185" s="91">
        <f t="shared" ref="J185" si="1069">J168*Z185</f>
        <v>44.149631588304786</v>
      </c>
      <c r="K185" s="91">
        <f t="shared" ref="K185" si="1070">K168*AA185</f>
        <v>48.013836517580174</v>
      </c>
      <c r="L185" s="91">
        <f t="shared" ref="L185" si="1071">L168*AB185</f>
        <v>52.285021420731042</v>
      </c>
      <c r="M185" s="91">
        <f t="shared" ref="M185" si="1072">M168*AC185</f>
        <v>57.012327332351376</v>
      </c>
      <c r="N185" s="91">
        <f t="shared" ref="N185" si="1073">N168*AD185</f>
        <v>62.25152894675648</v>
      </c>
      <c r="O185" s="91">
        <f t="shared" ref="O185" si="1074">O168*AE185</f>
        <v>68.066019580095499</v>
      </c>
      <c r="P185" s="91">
        <f t="shared" ref="P185" si="1075">P168*AF185</f>
        <v>74.527955135848018</v>
      </c>
      <c r="Q185" s="91">
        <f t="shared" ref="Q185" si="1076">Q168*AG185</f>
        <v>81.719584737810436</v>
      </c>
      <c r="R185" s="78">
        <f>RATE(12,,-E185,Q185)</f>
        <v>8.8372333205388745E-2</v>
      </c>
      <c r="S185" s="61" t="s">
        <v>28</v>
      </c>
      <c r="T185" s="12">
        <v>0.40099999999999997</v>
      </c>
      <c r="U185" s="12">
        <v>0.40265090533119946</v>
      </c>
      <c r="V185" s="12">
        <v>0.40430860739160734</v>
      </c>
      <c r="W185" s="12">
        <v>0.40597313416316017</v>
      </c>
      <c r="X185" s="12">
        <v>0.40764451374299493</v>
      </c>
      <c r="Y185" s="12">
        <v>0.40932277434392395</v>
      </c>
      <c r="Z185" s="12">
        <v>0.41100794429491083</v>
      </c>
      <c r="AA185" s="12">
        <v>0.4127000520415488</v>
      </c>
      <c r="AB185" s="12">
        <v>0.41439912614654062</v>
      </c>
      <c r="AC185" s="12">
        <v>0.41610519529018092</v>
      </c>
      <c r="AD185" s="12">
        <v>0.41781828827084017</v>
      </c>
      <c r="AE185" s="12">
        <v>0.4195384340054511</v>
      </c>
      <c r="AF185" s="12">
        <v>0.4212656615299965</v>
      </c>
      <c r="AG185" s="12">
        <v>0.42299999999999938</v>
      </c>
    </row>
    <row r="186" spans="1:33" x14ac:dyDescent="0.25">
      <c r="A186" s="114"/>
      <c r="B186" s="62" t="s">
        <v>29</v>
      </c>
      <c r="C186" s="47"/>
      <c r="D186" s="97">
        <f>D168*T186</f>
        <v>29.453462500000001</v>
      </c>
      <c r="E186" s="97">
        <f t="shared" ref="E186" si="1077">E168*U186</f>
        <v>31.723912571437889</v>
      </c>
      <c r="F186" s="97">
        <f t="shared" ref="F186" si="1078">F168*V186</f>
        <v>34.210316219067842</v>
      </c>
      <c r="G186" s="97">
        <f t="shared" ref="G186" si="1079">G168*W186</f>
        <v>36.936494848498128</v>
      </c>
      <c r="H186" s="97">
        <f t="shared" ref="H186" si="1080">H168*X186</f>
        <v>39.929229565704929</v>
      </c>
      <c r="I186" s="97">
        <f t="shared" ref="I186" si="1081">I168*Y186</f>
        <v>43.218667801276823</v>
      </c>
      <c r="J186" s="97">
        <f t="shared" ref="J186" si="1082">J168*Z186</f>
        <v>46.838790918065051</v>
      </c>
      <c r="K186" s="97">
        <f t="shared" ref="K186" si="1083">K168*AA186</f>
        <v>50.827952690980489</v>
      </c>
      <c r="L186" s="97">
        <f t="shared" ref="L186" si="1084">L168*AB186</f>
        <v>55.229500268540605</v>
      </c>
      <c r="M186" s="97">
        <f t="shared" ref="M186" si="1085">M168*AC186</f>
        <v>60.092491266100922</v>
      </c>
      <c r="N186" s="97">
        <f t="shared" ref="N186" si="1086">N168*AD186</f>
        <v>65.472523063467364</v>
      </c>
      <c r="O186" s="97">
        <f t="shared" ref="O186" si="1087">O168*AE186</f>
        <v>71.432693260853313</v>
      </c>
      <c r="P186" s="97">
        <f t="shared" ref="P186" si="1088">P168*AF186</f>
        <v>78.044713678990917</v>
      </c>
      <c r="Q186" s="97">
        <f t="shared" ref="Q186" si="1089">Q168*AG186</f>
        <v>85.390204383244182</v>
      </c>
      <c r="R186" s="83">
        <f>RATE(12,,-E186,Q186)</f>
        <v>8.6013212808645823E-2</v>
      </c>
      <c r="S186" s="62" t="s">
        <v>29</v>
      </c>
      <c r="T186" s="12">
        <v>0.43099999999999999</v>
      </c>
      <c r="U186" s="12">
        <v>0.43183634674261745</v>
      </c>
      <c r="V186" s="12">
        <v>0.43267431639909548</v>
      </c>
      <c r="W186" s="12">
        <v>0.43351391211866536</v>
      </c>
      <c r="X186" s="12">
        <v>0.43435513705666956</v>
      </c>
      <c r="Y186" s="12">
        <v>0.43519799437457324</v>
      </c>
      <c r="Z186" s="12">
        <v>0.43604248723997657</v>
      </c>
      <c r="AA186" s="12">
        <v>0.43688861882662616</v>
      </c>
      <c r="AB186" s="12">
        <v>0.43773639231442729</v>
      </c>
      <c r="AC186" s="12">
        <v>0.43858581088945586</v>
      </c>
      <c r="AD186" s="12">
        <v>0.43943687774397006</v>
      </c>
      <c r="AE186" s="12">
        <v>0.44028959607642287</v>
      </c>
      <c r="AF186" s="12">
        <v>0.44114396909147369</v>
      </c>
      <c r="AG186" s="12">
        <v>0.44200000000000028</v>
      </c>
    </row>
    <row r="187" spans="1:33" ht="15.75" thickBot="1" x14ac:dyDescent="0.3">
      <c r="A187" s="115"/>
      <c r="B187" s="63" t="s">
        <v>30</v>
      </c>
      <c r="C187" s="51"/>
      <c r="D187" s="92">
        <f>D168*T187</f>
        <v>11.480700000000004</v>
      </c>
      <c r="E187" s="92">
        <f t="shared" ref="E187" si="1090">E168*U187</f>
        <v>12.159031967260951</v>
      </c>
      <c r="F187" s="92">
        <f t="shared" ref="F187" si="1091">F168*V187</f>
        <v>12.889292280256079</v>
      </c>
      <c r="G187" s="92">
        <f t="shared" ref="G187" si="1092">G168*W187</f>
        <v>13.676114473820363</v>
      </c>
      <c r="H187" s="92">
        <f t="shared" ref="H187" si="1093">H168*X187</f>
        <v>14.524594453820482</v>
      </c>
      <c r="I187" s="92">
        <f t="shared" ref="I187" si="1094">I168*Y187</f>
        <v>15.44034056593013</v>
      </c>
      <c r="J187" s="92">
        <f t="shared" ref="J187" si="1095">J168*Z187</f>
        <v>16.4295293875869</v>
      </c>
      <c r="K187" s="92">
        <f t="shared" ref="K187" si="1096">K168*AA187</f>
        <v>17.498967910477337</v>
      </c>
      <c r="L187" s="92">
        <f t="shared" ref="L187" si="1097">L168*AB187</f>
        <v>18.656162855661275</v>
      </c>
      <c r="M187" s="92">
        <f t="shared" ref="M187" si="1098">M168*AC187</f>
        <v>19.909397945016867</v>
      </c>
      <c r="N187" s="92">
        <f t="shared" ref="N187" si="1099">N168*AD187</f>
        <v>21.267820041110333</v>
      </c>
      <c r="O187" s="92">
        <f t="shared" ref="O187" si="1100">O168*AE187</f>
        <v>22.741535162672989</v>
      </c>
      <c r="P187" s="92">
        <f t="shared" ref="P187" si="1101">P168*AF187</f>
        <v>24.341715484060799</v>
      </c>
      <c r="Q187" s="92">
        <f t="shared" ref="Q187" si="1102">Q168*AG187</f>
        <v>26.080718533343862</v>
      </c>
      <c r="R187" s="79">
        <f>RATE(12,,-E187,Q187)</f>
        <v>6.5659299869478965E-2</v>
      </c>
      <c r="S187" s="63" t="s">
        <v>30</v>
      </c>
      <c r="T187" s="12">
        <f>1-SUM(T185:T186)</f>
        <v>0.16800000000000004</v>
      </c>
      <c r="U187" s="12">
        <f t="shared" ref="U187" si="1103">1-SUM(U185:U186)</f>
        <v>0.16551274792618309</v>
      </c>
      <c r="V187" s="12">
        <f t="shared" ref="V187" si="1104">1-SUM(V185:V186)</f>
        <v>0.16301707620929717</v>
      </c>
      <c r="W187" s="12">
        <f t="shared" ref="W187" si="1105">1-SUM(W185:W186)</f>
        <v>0.16051295371817442</v>
      </c>
      <c r="X187" s="12">
        <f t="shared" ref="X187" si="1106">1-SUM(X185:X186)</f>
        <v>0.15800034920033545</v>
      </c>
      <c r="Y187" s="12">
        <f t="shared" ref="Y187" si="1107">1-SUM(Y185:Y186)</f>
        <v>0.15547923128150276</v>
      </c>
      <c r="Z187" s="12">
        <f t="shared" ref="Z187" si="1108">1-SUM(Z185:Z186)</f>
        <v>0.15294956846511254</v>
      </c>
      <c r="AA187" s="12">
        <f t="shared" ref="AA187" si="1109">1-SUM(AA185:AA186)</f>
        <v>0.15041132913182498</v>
      </c>
      <c r="AB187" s="12">
        <f t="shared" ref="AB187" si="1110">1-SUM(AB185:AB186)</f>
        <v>0.14786448153903209</v>
      </c>
      <c r="AC187" s="12">
        <f t="shared" ref="AC187" si="1111">1-SUM(AC185:AC186)</f>
        <v>0.14530899382036322</v>
      </c>
      <c r="AD187" s="12">
        <f t="shared" ref="AD187" si="1112">1-SUM(AD185:AD186)</f>
        <v>0.14274483398518978</v>
      </c>
      <c r="AE187" s="12">
        <f t="shared" ref="AE187" si="1113">1-SUM(AE185:AE186)</f>
        <v>0.14017196991812608</v>
      </c>
      <c r="AF187" s="12">
        <f t="shared" ref="AF187" si="1114">1-SUM(AF185:AF186)</f>
        <v>0.13759036937852986</v>
      </c>
      <c r="AG187" s="12">
        <f t="shared" ref="AG187" si="1115">1-SUM(AG185:AG186)</f>
        <v>0.13500000000000034</v>
      </c>
    </row>
    <row r="191" spans="1:33" ht="26.25" x14ac:dyDescent="0.4">
      <c r="A191" s="109" t="s">
        <v>63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70"/>
    </row>
    <row r="192" spans="1:33" ht="24" thickBot="1" x14ac:dyDescent="0.4">
      <c r="A192" s="70"/>
      <c r="B192" s="70"/>
      <c r="C192" s="70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</row>
    <row r="193" spans="1:33" ht="15.75" x14ac:dyDescent="0.25">
      <c r="A193" s="49"/>
      <c r="B193" s="50"/>
      <c r="C193" s="100"/>
      <c r="D193" s="98">
        <v>2023</v>
      </c>
      <c r="E193" s="72">
        <v>2024</v>
      </c>
      <c r="F193" s="72">
        <v>2025</v>
      </c>
      <c r="G193" s="72">
        <v>2026</v>
      </c>
      <c r="H193" s="72">
        <v>2027</v>
      </c>
      <c r="I193" s="72">
        <v>2028</v>
      </c>
      <c r="J193" s="72">
        <v>2029</v>
      </c>
      <c r="K193" s="72">
        <v>2030</v>
      </c>
      <c r="L193" s="72">
        <v>2031</v>
      </c>
      <c r="M193" s="72">
        <v>2032</v>
      </c>
      <c r="N193" s="72">
        <v>2033</v>
      </c>
      <c r="O193" s="72">
        <v>2034</v>
      </c>
      <c r="P193" s="72">
        <v>2035</v>
      </c>
      <c r="Q193" s="72">
        <v>2036</v>
      </c>
      <c r="R193" s="73" t="s">
        <v>13</v>
      </c>
    </row>
    <row r="194" spans="1:33" ht="16.5" thickBot="1" x14ac:dyDescent="0.3">
      <c r="A194" s="26"/>
      <c r="B194" s="101"/>
      <c r="C194" s="102"/>
      <c r="D194" s="99">
        <f>'Market Analysis'!C30</f>
        <v>84.738500000000002</v>
      </c>
      <c r="E194" s="99">
        <f>'Market Analysis'!D30</f>
        <v>93.551303999999988</v>
      </c>
      <c r="F194" s="99">
        <f>'Market Analysis'!E30</f>
        <v>103.34091064233418</v>
      </c>
      <c r="G194" s="99">
        <f>'Market Analysis'!F30</f>
        <v>114.22193387114049</v>
      </c>
      <c r="H194" s="99">
        <f>'Market Analysis'!G30</f>
        <v>126.32315004028919</v>
      </c>
      <c r="I194" s="99">
        <f>'Market Analysis'!H30</f>
        <v>139.78933309894217</v>
      </c>
      <c r="J194" s="99">
        <f>'Market Analysis'!I30</f>
        <v>154.78333829504857</v>
      </c>
      <c r="K194" s="99">
        <f>'Market Analysis'!J30</f>
        <v>171.48846946384424</v>
      </c>
      <c r="L194" s="99">
        <f>'Market Analysis'!K30</f>
        <v>190.11117011142562</v>
      </c>
      <c r="M194" s="99">
        <f>'Market Analysis'!L30</f>
        <v>210.88408442875726</v>
      </c>
      <c r="N194" s="99">
        <f>'Market Analysis'!M30</f>
        <v>234.06954120222147</v>
      </c>
      <c r="O194" s="99">
        <f>'Market Analysis'!N30</f>
        <v>259.96352146624139</v>
      </c>
      <c r="P194" s="99">
        <f>'Market Analysis'!O30</f>
        <v>288.90017983822997</v>
      </c>
      <c r="Q194" s="99">
        <f>'Market Analysis'!P30</f>
        <v>321.25699998011163</v>
      </c>
      <c r="R194" s="75">
        <f>RATE(12,,-E194,Q194)</f>
        <v>0.10828187173529781</v>
      </c>
      <c r="T194" s="72">
        <v>2023</v>
      </c>
      <c r="U194" s="72">
        <v>2024</v>
      </c>
      <c r="V194" s="72">
        <v>2025</v>
      </c>
      <c r="W194" s="72">
        <v>2026</v>
      </c>
      <c r="X194" s="72">
        <v>2027</v>
      </c>
      <c r="Y194" s="72">
        <v>2028</v>
      </c>
      <c r="Z194" s="72">
        <v>2029</v>
      </c>
      <c r="AA194" s="72">
        <v>2030</v>
      </c>
      <c r="AB194" s="72">
        <v>2031</v>
      </c>
      <c r="AC194" s="72">
        <v>2032</v>
      </c>
      <c r="AD194" s="72">
        <v>2033</v>
      </c>
      <c r="AE194" s="72">
        <v>2034</v>
      </c>
      <c r="AF194" s="72">
        <v>2035</v>
      </c>
      <c r="AG194" s="72">
        <v>2036</v>
      </c>
    </row>
    <row r="195" spans="1:33" x14ac:dyDescent="0.25">
      <c r="A195" s="110" t="s">
        <v>51</v>
      </c>
      <c r="B195" s="59" t="s">
        <v>34</v>
      </c>
      <c r="C195" s="52"/>
      <c r="D195" s="86">
        <f>D194*T195</f>
        <v>47.453560000000003</v>
      </c>
      <c r="E195" s="86">
        <f t="shared" ref="E195" si="1116">E194*U195</f>
        <v>52.474948401271277</v>
      </c>
      <c r="F195" s="86">
        <f t="shared" ref="F195" si="1117">F194*V195</f>
        <v>58.061547493805961</v>
      </c>
      <c r="G195" s="86">
        <f t="shared" ref="G195" si="1118">G194*W195</f>
        <v>64.280608475692844</v>
      </c>
      <c r="H195" s="86">
        <f t="shared" ref="H195" si="1119">H194*X195</f>
        <v>71.207799448269952</v>
      </c>
      <c r="I195" s="86">
        <f t="shared" ref="I195" si="1120">I194*Y195</f>
        <v>78.928309068237382</v>
      </c>
      <c r="J195" s="86">
        <f t="shared" ref="J195" si="1121">J194*Z195</f>
        <v>87.538101311625908</v>
      </c>
      <c r="K195" s="86">
        <f t="shared" ref="K195" si="1122">K194*AA195</f>
        <v>97.145342893883708</v>
      </c>
      <c r="L195" s="86">
        <f t="shared" ref="L195" si="1123">L194*AB195</f>
        <v>107.87202808102607</v>
      </c>
      <c r="M195" s="86">
        <f t="shared" ref="M195" si="1124">M194*AC195</f>
        <v>119.85582930729814</v>
      </c>
      <c r="N195" s="86">
        <f t="shared" ref="N195" si="1125">N194*AD195</f>
        <v>133.25220626293947</v>
      </c>
      <c r="O195" s="86">
        <f t="shared" ref="O195" si="1126">O194*AE195</f>
        <v>148.23681102197637</v>
      </c>
      <c r="P195" s="86">
        <f t="shared" ref="P195" si="1127">P194*AF195</f>
        <v>165.00823245000458</v>
      </c>
      <c r="Q195" s="86">
        <f t="shared" ref="Q195" si="1128">Q194*AG195</f>
        <v>183.79112968862157</v>
      </c>
      <c r="R195" s="84">
        <f>RATE(12,,-E195,Q195)</f>
        <v>0.11010581412383713</v>
      </c>
      <c r="S195" s="59" t="s">
        <v>34</v>
      </c>
      <c r="T195" s="12">
        <v>0.56000000000000005</v>
      </c>
      <c r="U195" s="12">
        <v>0.56092161367703952</v>
      </c>
      <c r="V195" s="12">
        <v>0.56184474408938223</v>
      </c>
      <c r="W195" s="12">
        <v>0.56276939373317769</v>
      </c>
      <c r="X195" s="12">
        <v>0.56369556510868446</v>
      </c>
      <c r="Y195" s="12">
        <v>0.56462326072027491</v>
      </c>
      <c r="Z195" s="12">
        <v>0.56555248307644368</v>
      </c>
      <c r="AA195" s="12">
        <v>0.56648323468981299</v>
      </c>
      <c r="AB195" s="12">
        <v>0.56741551807714108</v>
      </c>
      <c r="AC195" s="12">
        <v>0.56834933575932756</v>
      </c>
      <c r="AD195" s="12">
        <v>0.56928469026142059</v>
      </c>
      <c r="AE195" s="12">
        <v>0.57022158411262425</v>
      </c>
      <c r="AF195" s="12">
        <v>0.57116001984630527</v>
      </c>
      <c r="AG195" s="12">
        <v>0.57209999999999905</v>
      </c>
    </row>
    <row r="196" spans="1:33" ht="15.75" thickBot="1" x14ac:dyDescent="0.3">
      <c r="A196" s="111"/>
      <c r="B196" s="60" t="s">
        <v>35</v>
      </c>
      <c r="C196" s="53"/>
      <c r="D196" s="87">
        <f>D194*T196</f>
        <v>37.284939999999999</v>
      </c>
      <c r="E196" s="87">
        <f t="shared" ref="E196" si="1129">E194*U196</f>
        <v>41.076355598728711</v>
      </c>
      <c r="F196" s="87">
        <f t="shared" ref="F196" si="1130">F194*V196</f>
        <v>45.279363148528219</v>
      </c>
      <c r="G196" s="87">
        <f t="shared" ref="G196" si="1131">G194*W196</f>
        <v>49.941325395447642</v>
      </c>
      <c r="H196" s="87">
        <f t="shared" ref="H196" si="1132">H194*X196</f>
        <v>55.11535059201924</v>
      </c>
      <c r="I196" s="87">
        <f t="shared" ref="I196" si="1133">I194*Y196</f>
        <v>60.86102403070479</v>
      </c>
      <c r="J196" s="87">
        <f t="shared" ref="J196" si="1134">J194*Z196</f>
        <v>67.245236983422657</v>
      </c>
      <c r="K196" s="87">
        <f t="shared" ref="K196" si="1135">K194*AA196</f>
        <v>74.343126569960532</v>
      </c>
      <c r="L196" s="87">
        <f t="shared" ref="L196" si="1136">L194*AB196</f>
        <v>82.239142030399549</v>
      </c>
      <c r="M196" s="87">
        <f t="shared" ref="M196" si="1137">M194*AC196</f>
        <v>91.028255121459125</v>
      </c>
      <c r="N196" s="87">
        <f t="shared" ref="N196" si="1138">N194*AD196</f>
        <v>100.81733493928199</v>
      </c>
      <c r="O196" s="87">
        <f t="shared" ref="O196" si="1139">O194*AE196</f>
        <v>111.72671044426502</v>
      </c>
      <c r="P196" s="87">
        <f t="shared" ref="P196" si="1140">P194*AF196</f>
        <v>123.89194738822538</v>
      </c>
      <c r="Q196" s="87">
        <f t="shared" ref="Q196" si="1141">Q194*AG196</f>
        <v>137.46587029149006</v>
      </c>
      <c r="R196" s="85">
        <f>RATE(12,,-E196,Q196)</f>
        <v>0.10590269163999723</v>
      </c>
      <c r="S196" s="60" t="s">
        <v>35</v>
      </c>
      <c r="T196" s="12">
        <f>1-T195</f>
        <v>0.43999999999999995</v>
      </c>
      <c r="U196" s="12">
        <f t="shared" ref="U196" si="1142">1-U195</f>
        <v>0.43907838632296048</v>
      </c>
      <c r="V196" s="12">
        <f t="shared" ref="V196" si="1143">1-V195</f>
        <v>0.43815525591061777</v>
      </c>
      <c r="W196" s="12">
        <f t="shared" ref="W196" si="1144">1-W195</f>
        <v>0.43723060626682231</v>
      </c>
      <c r="X196" s="12">
        <f t="shared" ref="X196" si="1145">1-X195</f>
        <v>0.43630443489131554</v>
      </c>
      <c r="Y196" s="12">
        <f t="shared" ref="Y196" si="1146">1-Y195</f>
        <v>0.43537673927972509</v>
      </c>
      <c r="Z196" s="12">
        <f t="shared" ref="Z196" si="1147">1-Z195</f>
        <v>0.43444751692355632</v>
      </c>
      <c r="AA196" s="12">
        <f t="shared" ref="AA196" si="1148">1-AA195</f>
        <v>0.43351676531018701</v>
      </c>
      <c r="AB196" s="12">
        <f t="shared" ref="AB196" si="1149">1-AB195</f>
        <v>0.43258448192285892</v>
      </c>
      <c r="AC196" s="12">
        <f t="shared" ref="AC196" si="1150">1-AC195</f>
        <v>0.43165066424067244</v>
      </c>
      <c r="AD196" s="12">
        <f t="shared" ref="AD196" si="1151">1-AD195</f>
        <v>0.43071530973857941</v>
      </c>
      <c r="AE196" s="12">
        <f t="shared" ref="AE196" si="1152">1-AE195</f>
        <v>0.42977841588737575</v>
      </c>
      <c r="AF196" s="12">
        <f t="shared" ref="AF196" si="1153">1-AF195</f>
        <v>0.42883998015369473</v>
      </c>
      <c r="AG196" s="12">
        <f t="shared" ref="AG196" si="1154">1-AG195</f>
        <v>0.42790000000000095</v>
      </c>
    </row>
    <row r="197" spans="1:33" ht="15.75" thickBot="1" x14ac:dyDescent="0.3">
      <c r="A197" s="1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21"/>
    </row>
    <row r="198" spans="1:33" x14ac:dyDescent="0.25">
      <c r="A198" s="110" t="s">
        <v>15</v>
      </c>
      <c r="B198" s="64" t="s">
        <v>16</v>
      </c>
      <c r="C198" s="54"/>
      <c r="D198" s="89">
        <f>D194*T198</f>
        <v>39.911833499999993</v>
      </c>
      <c r="E198" s="89">
        <f t="shared" ref="E198" si="1155">E194*U198</f>
        <v>44.005094150769224</v>
      </c>
      <c r="F198" s="89">
        <f t="shared" ref="F198" si="1156">F194*V198</f>
        <v>48.546380099441137</v>
      </c>
      <c r="G198" s="89">
        <f t="shared" ref="G198" si="1157">G194*W198</f>
        <v>53.587659590775829</v>
      </c>
      <c r="H198" s="89">
        <f t="shared" ref="H198" si="1158">H194*X198</f>
        <v>59.187254376569342</v>
      </c>
      <c r="I198" s="89">
        <f t="shared" ref="I198" si="1159">I194*Y198</f>
        <v>65.410654864681931</v>
      </c>
      <c r="J198" s="89">
        <f t="shared" ref="J198" si="1160">J194*Z198</f>
        <v>72.331444626340001</v>
      </c>
      <c r="K198" s="89">
        <f t="shared" ref="K198" si="1161">K194*AA198</f>
        <v>80.032349556703295</v>
      </c>
      <c r="L198" s="89">
        <f t="shared" ref="L198" si="1162">L194*AB198</f>
        <v>88.606429208086752</v>
      </c>
      <c r="M198" s="89">
        <f t="shared" ref="M198" si="1163">M194*AC198</f>
        <v>98.158430375262313</v>
      </c>
      <c r="N198" s="89">
        <f t="shared" ref="N198" si="1164">N194*AD198</f>
        <v>108.80632596038647</v>
      </c>
      <c r="O198" s="89">
        <f t="shared" ref="O198" si="1165">O194*AE198</f>
        <v>120.68306554221283</v>
      </c>
      <c r="P198" s="89">
        <f t="shared" ref="P198" si="1166">P194*AF198</f>
        <v>133.93856799115477</v>
      </c>
      <c r="Q198" s="89">
        <f t="shared" ref="Q198" si="1167">Q194*AG198</f>
        <v>148.74199099079166</v>
      </c>
      <c r="R198" s="76">
        <f>RATE(12,,-E198,Q198)</f>
        <v>0.1068214140540755</v>
      </c>
      <c r="S198" s="64" t="s">
        <v>16</v>
      </c>
      <c r="T198" s="12">
        <v>0.47099999999999992</v>
      </c>
      <c r="U198" s="12">
        <v>0.47038461538461535</v>
      </c>
      <c r="V198" s="12">
        <v>0.46976923076923072</v>
      </c>
      <c r="W198" s="12">
        <v>0.46915384615384609</v>
      </c>
      <c r="X198" s="12">
        <v>0.46853846153846151</v>
      </c>
      <c r="Y198" s="12">
        <v>0.46792307692307689</v>
      </c>
      <c r="Z198" s="12">
        <v>0.46730769230769226</v>
      </c>
      <c r="AA198" s="12">
        <v>0.46669230769230763</v>
      </c>
      <c r="AB198" s="12">
        <v>0.46607692307692306</v>
      </c>
      <c r="AC198" s="12">
        <v>0.46546153846153843</v>
      </c>
      <c r="AD198" s="12">
        <v>0.4648461538461538</v>
      </c>
      <c r="AE198" s="12">
        <v>0.46423076923076922</v>
      </c>
      <c r="AF198" s="12">
        <v>0.4636153846153846</v>
      </c>
      <c r="AG198" s="12">
        <v>0.46299999999999997</v>
      </c>
    </row>
    <row r="199" spans="1:33" ht="15.75" thickBot="1" x14ac:dyDescent="0.3">
      <c r="A199" s="111"/>
      <c r="B199" s="65" t="s">
        <v>17</v>
      </c>
      <c r="C199" s="55"/>
      <c r="D199" s="90">
        <f>D194*T199</f>
        <v>44.826666500000016</v>
      </c>
      <c r="E199" s="90">
        <f t="shared" ref="E199" si="1168">E194*U199</f>
        <v>49.546209849230763</v>
      </c>
      <c r="F199" s="90">
        <f t="shared" ref="F199" si="1169">F194*V199</f>
        <v>54.794530542893042</v>
      </c>
      <c r="G199" s="90">
        <f t="shared" ref="G199" si="1170">G194*W199</f>
        <v>60.634274280364671</v>
      </c>
      <c r="H199" s="90">
        <f t="shared" ref="H199" si="1171">H194*X199</f>
        <v>67.13589566371985</v>
      </c>
      <c r="I199" s="90">
        <f t="shared" ref="I199" si="1172">I194*Y199</f>
        <v>74.378678234260235</v>
      </c>
      <c r="J199" s="90">
        <f t="shared" ref="J199" si="1173">J194*Z199</f>
        <v>82.451893668708578</v>
      </c>
      <c r="K199" s="90">
        <f t="shared" ref="K199" si="1174">K194*AA199</f>
        <v>91.456119907140945</v>
      </c>
      <c r="L199" s="90">
        <f t="shared" ref="L199" si="1175">L194*AB199</f>
        <v>101.50474090333887</v>
      </c>
      <c r="M199" s="90">
        <f t="shared" ref="M199" si="1176">M194*AC199</f>
        <v>112.72565405349496</v>
      </c>
      <c r="N199" s="90">
        <f t="shared" ref="N199" si="1177">N194*AD199</f>
        <v>125.263215241835</v>
      </c>
      <c r="O199" s="90">
        <f t="shared" ref="O199" si="1178">O194*AE199</f>
        <v>139.28045592402856</v>
      </c>
      <c r="P199" s="90">
        <f t="shared" ref="P199" si="1179">P194*AF199</f>
        <v>154.96161184707523</v>
      </c>
      <c r="Q199" s="90">
        <f t="shared" ref="Q199" si="1180">Q194*AG199</f>
        <v>172.51500898931997</v>
      </c>
      <c r="R199" s="77">
        <f>RATE(12,,-E199,Q199)</f>
        <v>0.10956147857388832</v>
      </c>
      <c r="S199" s="65" t="s">
        <v>17</v>
      </c>
      <c r="T199" s="12">
        <f>1-T198</f>
        <v>0.52900000000000014</v>
      </c>
      <c r="U199" s="12">
        <f t="shared" ref="U199" si="1181">1-U198</f>
        <v>0.5296153846153846</v>
      </c>
      <c r="V199" s="12">
        <f t="shared" ref="V199" si="1182">1-V198</f>
        <v>0.53023076923076928</v>
      </c>
      <c r="W199" s="12">
        <f t="shared" ref="W199" si="1183">1-W198</f>
        <v>0.53084615384615397</v>
      </c>
      <c r="X199" s="12">
        <f t="shared" ref="X199" si="1184">1-X198</f>
        <v>0.53146153846153843</v>
      </c>
      <c r="Y199" s="12">
        <f t="shared" ref="Y199" si="1185">1-Y198</f>
        <v>0.53207692307692311</v>
      </c>
      <c r="Z199" s="12">
        <f t="shared" ref="Z199" si="1186">1-Z198</f>
        <v>0.5326923076923078</v>
      </c>
      <c r="AA199" s="12">
        <f t="shared" ref="AA199" si="1187">1-AA198</f>
        <v>0.53330769230769237</v>
      </c>
      <c r="AB199" s="12">
        <f t="shared" ref="AB199" si="1188">1-AB198</f>
        <v>0.53392307692307694</v>
      </c>
      <c r="AC199" s="12">
        <f t="shared" ref="AC199" si="1189">1-AC198</f>
        <v>0.53453846153846163</v>
      </c>
      <c r="AD199" s="12">
        <f t="shared" ref="AD199" si="1190">1-AD198</f>
        <v>0.5351538461538462</v>
      </c>
      <c r="AE199" s="12">
        <f t="shared" ref="AE199" si="1191">1-AE198</f>
        <v>0.53576923076923078</v>
      </c>
      <c r="AF199" s="12">
        <f t="shared" ref="AF199" si="1192">1-AF198</f>
        <v>0.53638461538461546</v>
      </c>
      <c r="AG199" s="12">
        <f t="shared" ref="AG199" si="1193">1-AG198</f>
        <v>0.53700000000000003</v>
      </c>
    </row>
    <row r="200" spans="1:33" ht="15.75" thickBot="1" x14ac:dyDescent="0.3">
      <c r="A200" s="1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21"/>
    </row>
    <row r="201" spans="1:33" x14ac:dyDescent="0.25">
      <c r="A201" s="110" t="s">
        <v>18</v>
      </c>
      <c r="B201" s="61" t="s">
        <v>19</v>
      </c>
      <c r="C201" s="56"/>
      <c r="D201" s="91">
        <f>D194*T201</f>
        <v>33.980138499999995</v>
      </c>
      <c r="E201" s="91">
        <f t="shared" ref="E201" si="1194">E194*U201</f>
        <v>37.668517250514256</v>
      </c>
      <c r="F201" s="91">
        <f t="shared" ref="F201" si="1195">F194*V201</f>
        <v>41.781619668382667</v>
      </c>
      <c r="G201" s="91">
        <f t="shared" ref="G201" si="1196">G194*W201</f>
        <v>46.371036483844129</v>
      </c>
      <c r="H201" s="91">
        <f t="shared" ref="H201" si="1197">H194*X201</f>
        <v>51.494939072657075</v>
      </c>
      <c r="I201" s="91">
        <f t="shared" ref="I201" si="1198">I194*Y201</f>
        <v>57.218957647745924</v>
      </c>
      <c r="J201" s="91">
        <f t="shared" ref="J201" si="1199">J194*Z201</f>
        <v>63.61718168375166</v>
      </c>
      <c r="K201" s="91">
        <f t="shared" ref="K201" si="1200">K194*AA201</f>
        <v>70.773300272254076</v>
      </c>
      <c r="L201" s="91">
        <f t="shared" ref="L201" si="1201">L194*AB201</f>
        <v>78.781902764871106</v>
      </c>
      <c r="M201" s="91">
        <f t="shared" ref="M201" si="1202">M194*AC201</f>
        <v>87.749963134819041</v>
      </c>
      <c r="N201" s="91">
        <f t="shared" ref="N201" si="1203">N194*AD201</f>
        <v>97.798535041453064</v>
      </c>
      <c r="O201" s="91">
        <f t="shared" ref="O201" si="1204">O194*AE201</f>
        <v>109.06468869448938</v>
      </c>
      <c r="P201" s="91">
        <f t="shared" ref="P201" si="1205">P194*AF201</f>
        <v>121.70372537568691</v>
      </c>
      <c r="Q201" s="91">
        <f t="shared" ref="Q201" si="1206">Q194*AG201</f>
        <v>135.89171099158702</v>
      </c>
      <c r="R201" s="78">
        <f>RATE(12,,-E201,Q201)</f>
        <v>0.11284463594771343</v>
      </c>
      <c r="S201" s="61" t="s">
        <v>19</v>
      </c>
      <c r="T201" s="12">
        <v>0.40099999999999997</v>
      </c>
      <c r="U201" s="12">
        <v>0.40265090533119946</v>
      </c>
      <c r="V201" s="12">
        <v>0.40430860739160734</v>
      </c>
      <c r="W201" s="12">
        <v>0.40597313416316017</v>
      </c>
      <c r="X201" s="12">
        <v>0.40764451374299493</v>
      </c>
      <c r="Y201" s="12">
        <v>0.40932277434392395</v>
      </c>
      <c r="Z201" s="12">
        <v>0.41100794429491083</v>
      </c>
      <c r="AA201" s="12">
        <v>0.4127000520415488</v>
      </c>
      <c r="AB201" s="12">
        <v>0.41439912614654062</v>
      </c>
      <c r="AC201" s="12">
        <v>0.41610519529018092</v>
      </c>
      <c r="AD201" s="12">
        <v>0.41781828827084017</v>
      </c>
      <c r="AE201" s="12">
        <v>0.4195384340054511</v>
      </c>
      <c r="AF201" s="12">
        <v>0.4212656615299965</v>
      </c>
      <c r="AG201" s="12">
        <v>0.42299999999999938</v>
      </c>
    </row>
    <row r="202" spans="1:33" ht="15.75" thickBot="1" x14ac:dyDescent="0.3">
      <c r="A202" s="111"/>
      <c r="B202" s="63" t="s">
        <v>20</v>
      </c>
      <c r="C202" s="51"/>
      <c r="D202" s="92">
        <f>D194*T202</f>
        <v>50.758361499999999</v>
      </c>
      <c r="E202" s="92">
        <f t="shared" ref="E202" si="1207">E194*U202</f>
        <v>55.882786749485724</v>
      </c>
      <c r="F202" s="92">
        <f t="shared" ref="F202" si="1208">F194*V202</f>
        <v>61.559290973951512</v>
      </c>
      <c r="G202" s="92">
        <f t="shared" ref="G202" si="1209">G194*W202</f>
        <v>67.850897387296371</v>
      </c>
      <c r="H202" s="92">
        <f t="shared" ref="H202" si="1210">H194*X202</f>
        <v>74.828210967632117</v>
      </c>
      <c r="I202" s="92">
        <f t="shared" ref="I202" si="1211">I194*Y202</f>
        <v>82.570375451196242</v>
      </c>
      <c r="J202" s="92">
        <f t="shared" ref="J202" si="1212">J194*Z202</f>
        <v>91.166156611296913</v>
      </c>
      <c r="K202" s="92">
        <f t="shared" ref="K202" si="1213">K194*AA202</f>
        <v>100.71516919159016</v>
      </c>
      <c r="L202" s="92">
        <f t="shared" ref="L202" si="1214">L194*AB202</f>
        <v>111.32926734655452</v>
      </c>
      <c r="M202" s="92">
        <f t="shared" ref="M202" si="1215">M194*AC202</f>
        <v>123.13412129393824</v>
      </c>
      <c r="N202" s="92">
        <f t="shared" ref="N202" si="1216">N194*AD202</f>
        <v>136.27100616076842</v>
      </c>
      <c r="O202" s="92">
        <f t="shared" ref="O202" si="1217">O194*AE202</f>
        <v>150.89883277175201</v>
      </c>
      <c r="P202" s="92">
        <f t="shared" ref="P202" si="1218">P194*AF202</f>
        <v>167.19645446254304</v>
      </c>
      <c r="Q202" s="92">
        <f t="shared" ref="Q202" si="1219">Q194*AG202</f>
        <v>185.36528898852461</v>
      </c>
      <c r="R202" s="79">
        <f>RATE(12,,-E202,Q202)</f>
        <v>0.10508545574341363</v>
      </c>
      <c r="S202" s="63" t="s">
        <v>20</v>
      </c>
      <c r="T202" s="12">
        <f>1-T201</f>
        <v>0.59899999999999998</v>
      </c>
      <c r="U202" s="12">
        <f t="shared" ref="U202" si="1220">1-U201</f>
        <v>0.59734909466880048</v>
      </c>
      <c r="V202" s="12">
        <f t="shared" ref="V202" si="1221">1-V201</f>
        <v>0.59569139260839266</v>
      </c>
      <c r="W202" s="12">
        <f t="shared" ref="W202" si="1222">1-W201</f>
        <v>0.59402686583683983</v>
      </c>
      <c r="X202" s="12">
        <f t="shared" ref="X202" si="1223">1-X201</f>
        <v>0.59235548625700507</v>
      </c>
      <c r="Y202" s="12">
        <f t="shared" ref="Y202" si="1224">1-Y201</f>
        <v>0.59067722565607605</v>
      </c>
      <c r="Z202" s="12">
        <f t="shared" ref="Z202" si="1225">1-Z201</f>
        <v>0.58899205570508917</v>
      </c>
      <c r="AA202" s="12">
        <f t="shared" ref="AA202" si="1226">1-AA201</f>
        <v>0.5872999479584512</v>
      </c>
      <c r="AB202" s="12">
        <f t="shared" ref="AB202" si="1227">1-AB201</f>
        <v>0.58560087385345938</v>
      </c>
      <c r="AC202" s="12">
        <f t="shared" ref="AC202" si="1228">1-AC201</f>
        <v>0.58389480470981914</v>
      </c>
      <c r="AD202" s="12">
        <f t="shared" ref="AD202" si="1229">1-AD201</f>
        <v>0.58218171172915989</v>
      </c>
      <c r="AE202" s="12">
        <f t="shared" ref="AE202" si="1230">1-AE201</f>
        <v>0.5804615659945489</v>
      </c>
      <c r="AF202" s="12">
        <f t="shared" ref="AF202" si="1231">1-AF201</f>
        <v>0.57873433847000344</v>
      </c>
      <c r="AG202" s="12">
        <f t="shared" ref="AG202" si="1232">1-AG201</f>
        <v>0.57700000000000062</v>
      </c>
    </row>
    <row r="203" spans="1:33" ht="15.75" thickBot="1" x14ac:dyDescent="0.3">
      <c r="A203" s="2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21"/>
    </row>
    <row r="204" spans="1:33" x14ac:dyDescent="0.25">
      <c r="A204" s="110" t="s">
        <v>14</v>
      </c>
      <c r="B204" s="66" t="s">
        <v>21</v>
      </c>
      <c r="C204" s="57"/>
      <c r="D204" s="93">
        <f>D194*T204</f>
        <v>21.184625</v>
      </c>
      <c r="E204" s="93">
        <f t="shared" ref="E204" si="1233">E194*U204</f>
        <v>23.533385784961787</v>
      </c>
      <c r="F204" s="93">
        <f t="shared" ref="F204" si="1234">F194*V204</f>
        <v>26.157811947913569</v>
      </c>
      <c r="G204" s="93">
        <f t="shared" ref="G204" si="1235">G194*W204</f>
        <v>29.091974487021496</v>
      </c>
      <c r="H204" s="93">
        <f t="shared" ref="H204" si="1236">H194*X204</f>
        <v>32.374360334518549</v>
      </c>
      <c r="I204" s="93">
        <f t="shared" ref="I204" si="1237">I194*Y204</f>
        <v>36.048470476985734</v>
      </c>
      <c r="J204" s="93">
        <f t="shared" ref="J204" si="1238">J194*Z204</f>
        <v>40.163502489295752</v>
      </c>
      <c r="K204" s="93">
        <f t="shared" ref="K204" si="1239">K194*AA204</f>
        <v>44.775129864700453</v>
      </c>
      <c r="L204" s="93">
        <f t="shared" ref="L204" si="1240">L194*AB204</f>
        <v>49.946392407322151</v>
      </c>
      <c r="M204" s="93">
        <f t="shared" ref="M204" si="1241">M194*AC204</f>
        <v>55.748714133741004</v>
      </c>
      <c r="N204" s="93">
        <f t="shared" ref="N204" si="1242">N194*AD204</f>
        <v>62.263067655736357</v>
      </c>
      <c r="O204" s="93">
        <f t="shared" ref="O204" si="1243">O194*AE204</f>
        <v>69.58130694291836</v>
      </c>
      <c r="P204" s="93">
        <f t="shared" ref="P204" si="1244">P194*AF204</f>
        <v>77.807693757875114</v>
      </c>
      <c r="Q204" s="93">
        <f t="shared" ref="Q204" si="1245">Q194*AG204</f>
        <v>87.060646994610295</v>
      </c>
      <c r="R204" s="80">
        <f t="shared" ref="R204:R209" si="1246">RATE(12,,-E204,Q204)</f>
        <v>0.11517953169088514</v>
      </c>
      <c r="S204" s="66" t="s">
        <v>21</v>
      </c>
      <c r="T204" s="12">
        <v>0.25</v>
      </c>
      <c r="U204" s="12">
        <v>0.25155593539307364</v>
      </c>
      <c r="V204" s="12">
        <v>0.25312155452593693</v>
      </c>
      <c r="W204" s="12">
        <v>0.25469691766768382</v>
      </c>
      <c r="X204" s="12">
        <v>0.25628208546250747</v>
      </c>
      <c r="Y204" s="12">
        <v>0.2578771189320348</v>
      </c>
      <c r="Z204" s="12">
        <v>0.25948207947767565</v>
      </c>
      <c r="AA204" s="12">
        <v>0.2610970288829863</v>
      </c>
      <c r="AB204" s="12">
        <v>0.26272202931604799</v>
      </c>
      <c r="AC204" s="12">
        <v>0.26435714333185978</v>
      </c>
      <c r="AD204" s="12">
        <v>0.26600243387474731</v>
      </c>
      <c r="AE204" s="12">
        <v>0.26765796428078514</v>
      </c>
      <c r="AF204" s="12">
        <v>0.26932379828023517</v>
      </c>
      <c r="AG204" s="12">
        <v>0.27100000000000013</v>
      </c>
    </row>
    <row r="205" spans="1:33" x14ac:dyDescent="0.25">
      <c r="A205" s="112"/>
      <c r="B205" s="67" t="s">
        <v>22</v>
      </c>
      <c r="C205" s="48"/>
      <c r="D205" s="94">
        <f>D194*T205</f>
        <v>32.200630000000004</v>
      </c>
      <c r="E205" s="94">
        <f t="shared" ref="E205" si="1247">E194*U205</f>
        <v>35.63461685803906</v>
      </c>
      <c r="F205" s="94">
        <f t="shared" ref="F205" si="1248">F194*V205</f>
        <v>39.457828785263494</v>
      </c>
      <c r="G205" s="94">
        <f t="shared" ref="G205" si="1249">G194*W205</f>
        <v>43.716870000223651</v>
      </c>
      <c r="H205" s="94">
        <f t="shared" ref="H205" si="1250">H194*X205</f>
        <v>48.46421133067394</v>
      </c>
      <c r="I205" s="94">
        <f t="shared" ref="I205" si="1251">I194*Y205</f>
        <v>53.75896359050973</v>
      </c>
      <c r="J205" s="94">
        <f t="shared" ref="J205" si="1252">J194*Z205</f>
        <v>59.667757377339349</v>
      </c>
      <c r="K205" s="94">
        <f t="shared" ref="K205" si="1253">K194*AA205</f>
        <v>66.265744534517083</v>
      </c>
      <c r="L205" s="94">
        <f t="shared" ref="L205" si="1254">L194*AB205</f>
        <v>73.637738789058147</v>
      </c>
      <c r="M205" s="94">
        <f t="shared" ref="M205" si="1255">M194*AC205</f>
        <v>81.879515694025798</v>
      </c>
      <c r="N205" s="94">
        <f t="shared" ref="N205" si="1256">N194*AD205</f>
        <v>91.099295026477662</v>
      </c>
      <c r="O205" s="94">
        <f t="shared" ref="O205" si="1257">O194*AE205</f>
        <v>101.41943228480886</v>
      </c>
      <c r="P205" s="94">
        <f t="shared" ref="P205" si="1258">P194*AF205</f>
        <v>112.97834996800897</v>
      </c>
      <c r="Q205" s="94">
        <f t="shared" ref="Q205" si="1259">Q194*AG205</f>
        <v>125.93274399220377</v>
      </c>
      <c r="R205" s="81">
        <f t="shared" si="1246"/>
        <v>0.11093559253633738</v>
      </c>
      <c r="S205" s="67" t="s">
        <v>22</v>
      </c>
      <c r="T205" s="12">
        <v>0.38</v>
      </c>
      <c r="U205" s="12">
        <v>0.38090988938047371</v>
      </c>
      <c r="V205" s="12">
        <v>0.38182195744169661</v>
      </c>
      <c r="W205" s="12">
        <v>0.38273620940040159</v>
      </c>
      <c r="X205" s="12">
        <v>0.38365265048581265</v>
      </c>
      <c r="Y205" s="12">
        <v>0.38457128593967477</v>
      </c>
      <c r="Z205" s="12">
        <v>0.38549212101628438</v>
      </c>
      <c r="AA205" s="12">
        <v>0.38641516098251855</v>
      </c>
      <c r="AB205" s="12">
        <v>0.38734041111786593</v>
      </c>
      <c r="AC205" s="12">
        <v>0.38826787671445667</v>
      </c>
      <c r="AD205" s="12">
        <v>0.38919756307709236</v>
      </c>
      <c r="AE205" s="12">
        <v>0.39012947552327681</v>
      </c>
      <c r="AF205" s="12">
        <v>0.3910636193832463</v>
      </c>
      <c r="AG205" s="12">
        <v>0.39200000000000002</v>
      </c>
    </row>
    <row r="206" spans="1:33" x14ac:dyDescent="0.25">
      <c r="A206" s="112"/>
      <c r="B206" s="68" t="s">
        <v>23</v>
      </c>
      <c r="C206" s="48"/>
      <c r="D206" s="95">
        <f>D205*T206</f>
        <v>11.270220499999997</v>
      </c>
      <c r="E206" s="95">
        <f t="shared" ref="E206" si="1260">E205*U206</f>
        <v>12.450232107374134</v>
      </c>
      <c r="F206" s="95">
        <f t="shared" ref="F206" si="1261">F205*V206</f>
        <v>13.761819214095942</v>
      </c>
      <c r="G206" s="95">
        <f t="shared" ref="G206" si="1262">G205*W206</f>
        <v>15.220504032467433</v>
      </c>
      <c r="H206" s="95">
        <f t="shared" ref="H206" si="1263">H205*X206</f>
        <v>16.843736316518111</v>
      </c>
      <c r="I206" s="95">
        <f t="shared" ref="I206" si="1264">I205*Y206</f>
        <v>18.65114428199978</v>
      </c>
      <c r="J206" s="95">
        <f t="shared" ref="J206" si="1265">J205*Z206</f>
        <v>20.664819650870079</v>
      </c>
      <c r="K206" s="95">
        <f t="shared" ref="K206" si="1266">K205*AA206</f>
        <v>22.909641654697239</v>
      </c>
      <c r="L206" s="95">
        <f t="shared" ref="L206" si="1267">L205*AB206</f>
        <v>25.413645543124936</v>
      </c>
      <c r="M206" s="95">
        <f t="shared" ref="M206" si="1268">M205*AC206</f>
        <v>28.208441963884429</v>
      </c>
      <c r="N206" s="95">
        <f t="shared" ref="N206" si="1269">N205*AD206</f>
        <v>31.329694526997088</v>
      </c>
      <c r="O206" s="95">
        <f t="shared" ref="O206" si="1270">O205*AE206</f>
        <v>34.817663957738837</v>
      </c>
      <c r="P206" s="95">
        <f t="shared" ref="P206" si="1271">P205*AF206</f>
        <v>38.717828503879595</v>
      </c>
      <c r="Q206" s="95">
        <f t="shared" ref="Q206" si="1272">Q205*AG206</f>
        <v>43.081591719732884</v>
      </c>
      <c r="R206" s="81">
        <f t="shared" si="1246"/>
        <v>0.10898632549988826</v>
      </c>
      <c r="S206" s="68" t="s">
        <v>23</v>
      </c>
      <c r="T206" s="74">
        <v>0.34999999999999987</v>
      </c>
      <c r="U206" s="74">
        <v>0.34938588387166564</v>
      </c>
      <c r="V206" s="74">
        <v>0.34877284528224306</v>
      </c>
      <c r="W206" s="74">
        <v>0.34816088234106346</v>
      </c>
      <c r="X206" s="74">
        <v>0.34754999316077562</v>
      </c>
      <c r="Y206" s="74">
        <v>0.34694017585733994</v>
      </c>
      <c r="Z206" s="74">
        <v>0.34633142855002247</v>
      </c>
      <c r="AA206" s="74">
        <v>0.34572374936138933</v>
      </c>
      <c r="AB206" s="74">
        <v>0.34511713641730069</v>
      </c>
      <c r="AC206" s="74">
        <v>0.34451158784690528</v>
      </c>
      <c r="AD206" s="74">
        <v>0.34390710178263434</v>
      </c>
      <c r="AE206" s="74">
        <v>0.34330367636019604</v>
      </c>
      <c r="AF206" s="74">
        <v>0.34270130971856966</v>
      </c>
      <c r="AG206" s="74">
        <v>0.34209999999999979</v>
      </c>
    </row>
    <row r="207" spans="1:33" x14ac:dyDescent="0.25">
      <c r="A207" s="112"/>
      <c r="B207" s="68" t="s">
        <v>24</v>
      </c>
      <c r="C207" s="48"/>
      <c r="D207" s="95">
        <f>D205*T207</f>
        <v>9.0161764000000026</v>
      </c>
      <c r="E207" s="95">
        <f t="shared" ref="E207" si="1273">E205*U207</f>
        <v>10.012585720328115</v>
      </c>
      <c r="F207" s="95">
        <f t="shared" ref="F207" si="1274">F205*V207</f>
        <v>11.125600465092257</v>
      </c>
      <c r="G207" s="95">
        <f t="shared" ref="G207" si="1275">G205*W207</f>
        <v>12.369594368795289</v>
      </c>
      <c r="H207" s="95">
        <f t="shared" ref="H207" si="1276">H205*X207</f>
        <v>13.760799593808246</v>
      </c>
      <c r="I207" s="95">
        <f t="shared" ref="I207" si="1277">I205*Y207</f>
        <v>15.317557875710332</v>
      </c>
      <c r="J207" s="95">
        <f t="shared" ref="J207" si="1278">J205*Z207</f>
        <v>17.060607037933167</v>
      </c>
      <c r="K207" s="95">
        <f t="shared" ref="K207" si="1279">K205*AA207</f>
        <v>19.013408053607197</v>
      </c>
      <c r="L207" s="95">
        <f t="shared" ref="L207" si="1280">L205*AB207</f>
        <v>21.202518618748758</v>
      </c>
      <c r="M207" s="95">
        <f t="shared" ref="M207" si="1281">M205*AC207</f>
        <v>23.658020110760948</v>
      </c>
      <c r="N207" s="95">
        <f t="shared" ref="N207" si="1282">N205*AD207</f>
        <v>26.414005859730135</v>
      </c>
      <c r="O207" s="95">
        <f t="shared" ref="O207" si="1283">O205*AE207</f>
        <v>29.509139880627124</v>
      </c>
      <c r="P207" s="95">
        <f t="shared" ref="P207" si="1284">P205*AF207</f>
        <v>32.98729662966155</v>
      </c>
      <c r="Q207" s="95">
        <f t="shared" ref="Q207" si="1285">Q205*AG207</f>
        <v>36.898293989715661</v>
      </c>
      <c r="R207" s="81">
        <f t="shared" si="1246"/>
        <v>0.11482064660674628</v>
      </c>
      <c r="S207" s="68" t="s">
        <v>24</v>
      </c>
      <c r="T207" s="74">
        <v>0.28000000000000003</v>
      </c>
      <c r="U207" s="74">
        <v>0.28097918830490543</v>
      </c>
      <c r="V207" s="74">
        <v>0.28196180093029821</v>
      </c>
      <c r="W207" s="74">
        <v>0.28294784985137333</v>
      </c>
      <c r="X207" s="74">
        <v>0.28393734708520407</v>
      </c>
      <c r="Y207" s="74">
        <v>0.28493030469088876</v>
      </c>
      <c r="Z207" s="74">
        <v>0.28592673476969749</v>
      </c>
      <c r="AA207" s="74">
        <v>0.28692664946521995</v>
      </c>
      <c r="AB207" s="74">
        <v>0.28793006096351298</v>
      </c>
      <c r="AC207" s="74">
        <v>0.28893698149324931</v>
      </c>
      <c r="AD207" s="74">
        <v>0.28994742332586665</v>
      </c>
      <c r="AE207" s="74">
        <v>0.29096139877571725</v>
      </c>
      <c r="AF207" s="74">
        <v>0.29197892020021765</v>
      </c>
      <c r="AG207" s="74">
        <v>0.29299999999999965</v>
      </c>
    </row>
    <row r="208" spans="1:33" x14ac:dyDescent="0.25">
      <c r="A208" s="112"/>
      <c r="B208" s="68" t="s">
        <v>25</v>
      </c>
      <c r="C208" s="48"/>
      <c r="D208" s="95">
        <f>D205*T208</f>
        <v>11.914233100000004</v>
      </c>
      <c r="E208" s="95">
        <f t="shared" ref="E208" si="1286">E205*U208</f>
        <v>13.171799030336814</v>
      </c>
      <c r="F208" s="95">
        <f t="shared" ref="F208" si="1287">F205*V208</f>
        <v>14.570409106075298</v>
      </c>
      <c r="G208" s="95">
        <f t="shared" ref="G208" si="1288">G205*W208</f>
        <v>16.126771598960929</v>
      </c>
      <c r="H208" s="95">
        <f t="shared" ref="H208" si="1289">H205*X208</f>
        <v>17.859675420347578</v>
      </c>
      <c r="I208" s="95">
        <f t="shared" ref="I208" si="1290">I205*Y208</f>
        <v>19.790261432799618</v>
      </c>
      <c r="J208" s="95">
        <f t="shared" ref="J208" si="1291">J205*Z208</f>
        <v>21.942330688536103</v>
      </c>
      <c r="K208" s="95">
        <f t="shared" ref="K208" si="1292">K205*AA208</f>
        <v>24.34269482621265</v>
      </c>
      <c r="L208" s="95">
        <f t="shared" ref="L208" si="1293">L205*AB208</f>
        <v>27.02157462718446</v>
      </c>
      <c r="M208" s="95">
        <f t="shared" ref="M208" si="1294">M205*AC208</f>
        <v>30.013053619380422</v>
      </c>
      <c r="N208" s="95">
        <f t="shared" ref="N208" si="1295">N205*AD208</f>
        <v>33.355594639750436</v>
      </c>
      <c r="O208" s="95">
        <f t="shared" ref="O208" si="1296">O205*AE208</f>
        <v>37.092628446442895</v>
      </c>
      <c r="P208" s="95">
        <f t="shared" ref="P208" si="1297">P205*AF208</f>
        <v>41.273224834467825</v>
      </c>
      <c r="Q208" s="95">
        <f t="shared" ref="Q208" si="1298">Q205*AG208</f>
        <v>45.952858282755223</v>
      </c>
      <c r="R208" s="81">
        <f t="shared" si="1246"/>
        <v>0.10974267265400836</v>
      </c>
      <c r="S208" s="68" t="s">
        <v>25</v>
      </c>
      <c r="T208" s="74">
        <f>1-SUM(T206:T207)</f>
        <v>0.37000000000000011</v>
      </c>
      <c r="U208" s="74">
        <f t="shared" ref="U208" si="1299">1-SUM(U206:U207)</f>
        <v>0.36963492782342899</v>
      </c>
      <c r="V208" s="74">
        <f t="shared" ref="V208" si="1300">1-SUM(V206:V207)</f>
        <v>0.36926535378745873</v>
      </c>
      <c r="W208" s="74">
        <f t="shared" ref="W208" si="1301">1-SUM(W206:W207)</f>
        <v>0.36889126780756321</v>
      </c>
      <c r="X208" s="74">
        <f t="shared" ref="X208" si="1302">1-SUM(X206:X207)</f>
        <v>0.36851265975402026</v>
      </c>
      <c r="Y208" s="74">
        <f t="shared" ref="Y208" si="1303">1-SUM(Y206:Y207)</f>
        <v>0.3681295194517713</v>
      </c>
      <c r="Z208" s="74">
        <f t="shared" ref="Z208" si="1304">1-SUM(Z206:Z207)</f>
        <v>0.36774183668028004</v>
      </c>
      <c r="AA208" s="74">
        <f t="shared" ref="AA208" si="1305">1-SUM(AA206:AA207)</f>
        <v>0.36734960117339077</v>
      </c>
      <c r="AB208" s="74">
        <f t="shared" ref="AB208" si="1306">1-SUM(AB206:AB207)</f>
        <v>0.36695280261918639</v>
      </c>
      <c r="AC208" s="74">
        <f t="shared" ref="AC208" si="1307">1-SUM(AC206:AC207)</f>
        <v>0.36655143065984541</v>
      </c>
      <c r="AD208" s="74">
        <f t="shared" ref="AD208" si="1308">1-SUM(AD206:AD207)</f>
        <v>0.36614547489149896</v>
      </c>
      <c r="AE208" s="74">
        <f t="shared" ref="AE208" si="1309">1-SUM(AE206:AE207)</f>
        <v>0.36573492486408665</v>
      </c>
      <c r="AF208" s="74">
        <f t="shared" ref="AF208" si="1310">1-SUM(AF206:AF207)</f>
        <v>0.36531977008121275</v>
      </c>
      <c r="AG208" s="74">
        <f t="shared" ref="AG208" si="1311">1-SUM(AG206:AG207)</f>
        <v>0.36490000000000056</v>
      </c>
    </row>
    <row r="209" spans="1:33" ht="15.75" thickBot="1" x14ac:dyDescent="0.3">
      <c r="A209" s="111"/>
      <c r="B209" s="69" t="s">
        <v>26</v>
      </c>
      <c r="C209" s="58"/>
      <c r="D209" s="96">
        <f>D194*T209</f>
        <v>31.353245000000001</v>
      </c>
      <c r="E209" s="96">
        <f t="shared" ref="E209" si="1312">E194*U209</f>
        <v>34.383301356999141</v>
      </c>
      <c r="F209" s="96">
        <f t="shared" ref="F209" si="1313">F194*V209</f>
        <v>37.72526990915712</v>
      </c>
      <c r="G209" s="96">
        <f t="shared" ref="G209" si="1314">G194*W209</f>
        <v>41.413089383895347</v>
      </c>
      <c r="H209" s="96">
        <f t="shared" ref="H209" si="1315">H194*X209</f>
        <v>45.48457837509671</v>
      </c>
      <c r="I209" s="96">
        <f t="shared" ref="I209" si="1316">I194*Y209</f>
        <v>49.981899031446687</v>
      </c>
      <c r="J209" s="96">
        <f t="shared" ref="J209" si="1317">J194*Z209</f>
        <v>54.952078428413472</v>
      </c>
      <c r="K209" s="96">
        <f t="shared" ref="K209" si="1318">K194*AA209</f>
        <v>60.447595064626697</v>
      </c>
      <c r="L209" s="96">
        <f t="shared" ref="L209" si="1319">L194*AB209</f>
        <v>66.527038915045324</v>
      </c>
      <c r="M209" s="96">
        <f t="shared" ref="M209" si="1320">M194*AC209</f>
        <v>73.255854600990475</v>
      </c>
      <c r="N209" s="96">
        <f t="shared" ref="N209" si="1321">N194*AD209</f>
        <v>80.70717852000746</v>
      </c>
      <c r="O209" s="96">
        <f t="shared" ref="O209" si="1322">O194*AE209</f>
        <v>88.962782238514166</v>
      </c>
      <c r="P209" s="96">
        <f t="shared" ref="P209" si="1323">P194*AF209</f>
        <v>98.114136112345903</v>
      </c>
      <c r="Q209" s="96">
        <f t="shared" ref="Q209" si="1324">Q194*AG209</f>
        <v>108.26360899329757</v>
      </c>
      <c r="R209" s="82">
        <f t="shared" si="1246"/>
        <v>0.10030033170235217</v>
      </c>
      <c r="S209" s="69" t="s">
        <v>26</v>
      </c>
      <c r="T209" s="12">
        <f>1-SUM(T204+T205)</f>
        <v>0.37</v>
      </c>
      <c r="U209" s="12">
        <f t="shared" ref="U209:AG209" si="1325">1-SUM(U204+U205)</f>
        <v>0.36753417522645271</v>
      </c>
      <c r="V209" s="12">
        <f t="shared" si="1325"/>
        <v>0.36505648803236646</v>
      </c>
      <c r="W209" s="12">
        <f t="shared" si="1325"/>
        <v>0.36256687293191459</v>
      </c>
      <c r="X209" s="12">
        <f t="shared" si="1325"/>
        <v>0.36006526405167993</v>
      </c>
      <c r="Y209" s="12">
        <f t="shared" si="1325"/>
        <v>0.35755159512829038</v>
      </c>
      <c r="Z209" s="12">
        <f t="shared" si="1325"/>
        <v>0.35502579950603996</v>
      </c>
      <c r="AA209" s="12">
        <f t="shared" si="1325"/>
        <v>0.35248781013449515</v>
      </c>
      <c r="AB209" s="12">
        <f t="shared" si="1325"/>
        <v>0.34993755956608608</v>
      </c>
      <c r="AC209" s="12">
        <f t="shared" si="1325"/>
        <v>0.3473749799536836</v>
      </c>
      <c r="AD209" s="12">
        <f t="shared" si="1325"/>
        <v>0.34480000304816039</v>
      </c>
      <c r="AE209" s="12">
        <f t="shared" si="1325"/>
        <v>0.34221256019593804</v>
      </c>
      <c r="AF209" s="12">
        <f t="shared" si="1325"/>
        <v>0.33961258233651859</v>
      </c>
      <c r="AG209" s="12">
        <f t="shared" si="1325"/>
        <v>0.33699999999999986</v>
      </c>
    </row>
    <row r="210" spans="1:33" ht="15.75" thickBot="1" x14ac:dyDescent="0.3">
      <c r="A210" s="2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21"/>
    </row>
    <row r="211" spans="1:33" x14ac:dyDescent="0.25">
      <c r="A211" s="113" t="s">
        <v>27</v>
      </c>
      <c r="B211" s="61" t="s">
        <v>28</v>
      </c>
      <c r="C211" s="56"/>
      <c r="D211" s="91">
        <f>D194*T211</f>
        <v>33.980138499999995</v>
      </c>
      <c r="E211" s="91">
        <f t="shared" ref="E211" si="1326">E194*U211</f>
        <v>37.668517250514256</v>
      </c>
      <c r="F211" s="91">
        <f t="shared" ref="F211" si="1327">F194*V211</f>
        <v>41.781619668382667</v>
      </c>
      <c r="G211" s="91">
        <f t="shared" ref="G211" si="1328">G194*W211</f>
        <v>46.371036483844129</v>
      </c>
      <c r="H211" s="91">
        <f t="shared" ref="H211" si="1329">H194*X211</f>
        <v>51.494939072657075</v>
      </c>
      <c r="I211" s="91">
        <f t="shared" ref="I211" si="1330">I194*Y211</f>
        <v>57.218957647745924</v>
      </c>
      <c r="J211" s="91">
        <f t="shared" ref="J211" si="1331">J194*Z211</f>
        <v>63.61718168375166</v>
      </c>
      <c r="K211" s="91">
        <f t="shared" ref="K211" si="1332">K194*AA211</f>
        <v>70.773300272254076</v>
      </c>
      <c r="L211" s="91">
        <f t="shared" ref="L211" si="1333">L194*AB211</f>
        <v>78.781902764871106</v>
      </c>
      <c r="M211" s="91">
        <f t="shared" ref="M211" si="1334">M194*AC211</f>
        <v>87.749963134819041</v>
      </c>
      <c r="N211" s="91">
        <f t="shared" ref="N211" si="1335">N194*AD211</f>
        <v>97.798535041453064</v>
      </c>
      <c r="O211" s="91">
        <f t="shared" ref="O211" si="1336">O194*AE211</f>
        <v>109.06468869448938</v>
      </c>
      <c r="P211" s="91">
        <f t="shared" ref="P211" si="1337">P194*AF211</f>
        <v>121.70372537568691</v>
      </c>
      <c r="Q211" s="91">
        <f t="shared" ref="Q211" si="1338">Q194*AG211</f>
        <v>135.89171099158702</v>
      </c>
      <c r="R211" s="78">
        <f>RATE(12,,-E211,Q211)</f>
        <v>0.11284463594771343</v>
      </c>
      <c r="S211" s="61" t="s">
        <v>28</v>
      </c>
      <c r="T211" s="12">
        <v>0.40099999999999997</v>
      </c>
      <c r="U211" s="12">
        <v>0.40265090533119946</v>
      </c>
      <c r="V211" s="12">
        <v>0.40430860739160734</v>
      </c>
      <c r="W211" s="12">
        <v>0.40597313416316017</v>
      </c>
      <c r="X211" s="12">
        <v>0.40764451374299493</v>
      </c>
      <c r="Y211" s="12">
        <v>0.40932277434392395</v>
      </c>
      <c r="Z211" s="12">
        <v>0.41100794429491083</v>
      </c>
      <c r="AA211" s="12">
        <v>0.4127000520415488</v>
      </c>
      <c r="AB211" s="12">
        <v>0.41439912614654062</v>
      </c>
      <c r="AC211" s="12">
        <v>0.41610519529018092</v>
      </c>
      <c r="AD211" s="12">
        <v>0.41781828827084017</v>
      </c>
      <c r="AE211" s="12">
        <v>0.4195384340054511</v>
      </c>
      <c r="AF211" s="12">
        <v>0.4212656615299965</v>
      </c>
      <c r="AG211" s="12">
        <v>0.42299999999999938</v>
      </c>
    </row>
    <row r="212" spans="1:33" x14ac:dyDescent="0.25">
      <c r="A212" s="114"/>
      <c r="B212" s="62" t="s">
        <v>29</v>
      </c>
      <c r="C212" s="47"/>
      <c r="D212" s="97">
        <f>D194*T212</f>
        <v>36.522293500000004</v>
      </c>
      <c r="E212" s="97">
        <f t="shared" ref="E212" si="1339">E194*U212</f>
        <v>40.398853352368008</v>
      </c>
      <c r="F212" s="97">
        <f t="shared" ref="F212" si="1340">F194*V212</f>
        <v>44.712957868231953</v>
      </c>
      <c r="G212" s="97">
        <f t="shared" ref="G212" si="1341">G194*W212</f>
        <v>49.516797402237607</v>
      </c>
      <c r="H212" s="97">
        <f t="shared" ref="H212" si="1342">H194*X212</f>
        <v>54.869109149180048</v>
      </c>
      <c r="I212" s="97">
        <f t="shared" ref="I212" si="1343">I194*Y212</f>
        <v>60.836037399618775</v>
      </c>
      <c r="J212" s="97">
        <f t="shared" ref="J212" si="1344">J194*Z212</f>
        <v>67.492111813479696</v>
      </c>
      <c r="K212" s="97">
        <f t="shared" ref="K212" si="1345">K194*AA212</f>
        <v>74.92136056875097</v>
      </c>
      <c r="L212" s="97">
        <f t="shared" ref="L212" si="1346">L194*AB212</f>
        <v>83.218577743249824</v>
      </c>
      <c r="M212" s="97">
        <f t="shared" ref="M212" si="1347">M194*AC212</f>
        <v>92.490767172866981</v>
      </c>
      <c r="N212" s="97">
        <f t="shared" ref="N212" si="1348">N194*AD212</f>
        <v>102.85878836086776</v>
      </c>
      <c r="O212" s="97">
        <f t="shared" ref="O212" si="1349">O194*AE212</f>
        <v>114.45923386097591</v>
      </c>
      <c r="P212" s="97">
        <f t="shared" ref="P212" si="1350">P194*AF212</f>
        <v>127.44657200507731</v>
      </c>
      <c r="Q212" s="97">
        <f t="shared" ref="Q212" si="1351">Q194*AG212</f>
        <v>141.99559399120943</v>
      </c>
      <c r="R212" s="83">
        <f>RATE(12,,-E212,Q212)</f>
        <v>0.11043247018515794</v>
      </c>
      <c r="S212" s="62" t="s">
        <v>29</v>
      </c>
      <c r="T212" s="12">
        <v>0.43099999999999999</v>
      </c>
      <c r="U212" s="12">
        <v>0.43183634674261745</v>
      </c>
      <c r="V212" s="12">
        <v>0.43267431639909548</v>
      </c>
      <c r="W212" s="12">
        <v>0.43351391211866536</v>
      </c>
      <c r="X212" s="12">
        <v>0.43435513705666956</v>
      </c>
      <c r="Y212" s="12">
        <v>0.43519799437457324</v>
      </c>
      <c r="Z212" s="12">
        <v>0.43604248723997657</v>
      </c>
      <c r="AA212" s="12">
        <v>0.43688861882662616</v>
      </c>
      <c r="AB212" s="12">
        <v>0.43773639231442729</v>
      </c>
      <c r="AC212" s="12">
        <v>0.43858581088945586</v>
      </c>
      <c r="AD212" s="12">
        <v>0.43943687774397006</v>
      </c>
      <c r="AE212" s="12">
        <v>0.44028959607642287</v>
      </c>
      <c r="AF212" s="12">
        <v>0.44114396909147369</v>
      </c>
      <c r="AG212" s="12">
        <v>0.44200000000000028</v>
      </c>
    </row>
    <row r="213" spans="1:33" ht="15.75" thickBot="1" x14ac:dyDescent="0.3">
      <c r="A213" s="115"/>
      <c r="B213" s="63" t="s">
        <v>30</v>
      </c>
      <c r="C213" s="51"/>
      <c r="D213" s="92">
        <f>D194*T213</f>
        <v>14.236068000000003</v>
      </c>
      <c r="E213" s="92">
        <f t="shared" ref="E213" si="1352">E194*U213</f>
        <v>15.483933397117722</v>
      </c>
      <c r="F213" s="92">
        <f t="shared" ref="F213" si="1353">F194*V213</f>
        <v>16.846333105719559</v>
      </c>
      <c r="G213" s="92">
        <f t="shared" ref="G213" si="1354">G194*W213</f>
        <v>18.334099985058753</v>
      </c>
      <c r="H213" s="92">
        <f t="shared" ref="H213" si="1355">H194*X213</f>
        <v>19.959101818452062</v>
      </c>
      <c r="I213" s="92">
        <f t="shared" ref="I213" si="1356">I194*Y213</f>
        <v>21.73433805157746</v>
      </c>
      <c r="J213" s="92">
        <f t="shared" ref="J213" si="1357">J194*Z213</f>
        <v>23.674044797817206</v>
      </c>
      <c r="K213" s="92">
        <f t="shared" ref="K213" si="1358">K194*AA213</f>
        <v>25.793808622839194</v>
      </c>
      <c r="L213" s="92">
        <f t="shared" ref="L213" si="1359">L194*AB213</f>
        <v>28.110689603304682</v>
      </c>
      <c r="M213" s="92">
        <f t="shared" ref="M213" si="1360">M194*AC213</f>
        <v>30.643354121071244</v>
      </c>
      <c r="N213" s="92">
        <f t="shared" ref="N213" si="1361">N194*AD213</f>
        <v>33.412217799900645</v>
      </c>
      <c r="O213" s="92">
        <f t="shared" ref="O213" si="1362">O194*AE213</f>
        <v>36.439598910776112</v>
      </c>
      <c r="P213" s="92">
        <f t="shared" ref="P213" si="1363">P194*AF213</f>
        <v>39.749882457465766</v>
      </c>
      <c r="Q213" s="92">
        <f t="shared" ref="Q213" si="1364">Q194*AG213</f>
        <v>43.369694997315179</v>
      </c>
      <c r="R213" s="79">
        <f>RATE(12,,-E213,Q213)</f>
        <v>8.9620894837637119E-2</v>
      </c>
      <c r="S213" s="63" t="s">
        <v>30</v>
      </c>
      <c r="T213" s="12">
        <f>1-SUM(T211:T212)</f>
        <v>0.16800000000000004</v>
      </c>
      <c r="U213" s="12">
        <f t="shared" ref="U213" si="1365">1-SUM(U211:U212)</f>
        <v>0.16551274792618309</v>
      </c>
      <c r="V213" s="12">
        <f t="shared" ref="V213" si="1366">1-SUM(V211:V212)</f>
        <v>0.16301707620929717</v>
      </c>
      <c r="W213" s="12">
        <f t="shared" ref="W213" si="1367">1-SUM(W211:W212)</f>
        <v>0.16051295371817442</v>
      </c>
      <c r="X213" s="12">
        <f t="shared" ref="X213" si="1368">1-SUM(X211:X212)</f>
        <v>0.15800034920033545</v>
      </c>
      <c r="Y213" s="12">
        <f t="shared" ref="Y213" si="1369">1-SUM(Y211:Y212)</f>
        <v>0.15547923128150276</v>
      </c>
      <c r="Z213" s="12">
        <f t="shared" ref="Z213" si="1370">1-SUM(Z211:Z212)</f>
        <v>0.15294956846511254</v>
      </c>
      <c r="AA213" s="12">
        <f t="shared" ref="AA213" si="1371">1-SUM(AA211:AA212)</f>
        <v>0.15041132913182498</v>
      </c>
      <c r="AB213" s="12">
        <f t="shared" ref="AB213" si="1372">1-SUM(AB211:AB212)</f>
        <v>0.14786448153903209</v>
      </c>
      <c r="AC213" s="12">
        <f t="shared" ref="AC213" si="1373">1-SUM(AC211:AC212)</f>
        <v>0.14530899382036322</v>
      </c>
      <c r="AD213" s="12">
        <f t="shared" ref="AD213" si="1374">1-SUM(AD211:AD212)</f>
        <v>0.14274483398518978</v>
      </c>
      <c r="AE213" s="12">
        <f t="shared" ref="AE213" si="1375">1-SUM(AE211:AE212)</f>
        <v>0.14017196991812608</v>
      </c>
      <c r="AF213" s="12">
        <f t="shared" ref="AF213" si="1376">1-SUM(AF211:AF212)</f>
        <v>0.13759036937852986</v>
      </c>
      <c r="AG213" s="12">
        <f t="shared" ref="AG213" si="1377">1-SUM(AG211:AG212)</f>
        <v>0.13500000000000034</v>
      </c>
    </row>
    <row r="217" spans="1:33" ht="26.25" x14ac:dyDescent="0.4">
      <c r="A217" s="109" t="s">
        <v>62</v>
      </c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70"/>
    </row>
    <row r="218" spans="1:33" ht="24" thickBot="1" x14ac:dyDescent="0.4">
      <c r="A218" s="70"/>
      <c r="B218" s="70"/>
      <c r="C218" s="70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</row>
    <row r="219" spans="1:33" ht="15.75" x14ac:dyDescent="0.25">
      <c r="A219" s="49"/>
      <c r="B219" s="50"/>
      <c r="C219" s="100"/>
      <c r="D219" s="98">
        <v>2023</v>
      </c>
      <c r="E219" s="72">
        <v>2024</v>
      </c>
      <c r="F219" s="72">
        <v>2025</v>
      </c>
      <c r="G219" s="72">
        <v>2026</v>
      </c>
      <c r="H219" s="72">
        <v>2027</v>
      </c>
      <c r="I219" s="72">
        <v>2028</v>
      </c>
      <c r="J219" s="72">
        <v>2029</v>
      </c>
      <c r="K219" s="72">
        <v>2030</v>
      </c>
      <c r="L219" s="72">
        <v>2031</v>
      </c>
      <c r="M219" s="72">
        <v>2032</v>
      </c>
      <c r="N219" s="72">
        <v>2033</v>
      </c>
      <c r="O219" s="72">
        <v>2034</v>
      </c>
      <c r="P219" s="72">
        <v>2035</v>
      </c>
      <c r="Q219" s="72">
        <v>2036</v>
      </c>
      <c r="R219" s="73" t="s">
        <v>13</v>
      </c>
    </row>
    <row r="220" spans="1:33" ht="16.5" thickBot="1" x14ac:dyDescent="0.3">
      <c r="A220" s="26"/>
      <c r="B220" s="101"/>
      <c r="C220" s="102"/>
      <c r="D220" s="99">
        <f>'Market Analysis'!C32</f>
        <v>185.87799999999987</v>
      </c>
      <c r="E220" s="99">
        <f>'Market Analysis'!D32</f>
        <v>199.81884999999986</v>
      </c>
      <c r="F220" s="99">
        <f>'Market Analysis'!E32</f>
        <v>215.06259232182842</v>
      </c>
      <c r="G220" s="99">
        <f>'Market Analysis'!F32</f>
        <v>231.75096157101879</v>
      </c>
      <c r="H220" s="99">
        <f>'Market Analysis'!G32</f>
        <v>250.04309872947928</v>
      </c>
      <c r="I220" s="99">
        <f>'Market Analysis'!H32</f>
        <v>270.11791860027262</v>
      </c>
      <c r="J220" s="99">
        <f>'Market Analysis'!I32</f>
        <v>292.17682915156212</v>
      </c>
      <c r="K220" s="99">
        <f>'Market Analysis'!J32</f>
        <v>316.44685936378312</v>
      </c>
      <c r="L220" s="99">
        <f>'Market Analysis'!K32</f>
        <v>343.18426196221731</v>
      </c>
      <c r="M220" s="99">
        <f>'Market Analysis'!L32</f>
        <v>372.67866899823582</v>
      </c>
      <c r="N220" s="99">
        <f>'Market Analysis'!M32</f>
        <v>405.25789197962865</v>
      </c>
      <c r="O220" s="99">
        <f>'Market Analysis'!N32</f>
        <v>441.2934745698509</v>
      </c>
      <c r="P220" s="99">
        <f>'Market Analysis'!O32</f>
        <v>481.20712529300687</v>
      </c>
      <c r="Q220" s="99">
        <f>'Market Analysis'!P32</f>
        <v>525.47818081996343</v>
      </c>
      <c r="R220" s="75">
        <f>RATE(12,,-E220,Q220)</f>
        <v>8.3909907656537108E-2</v>
      </c>
      <c r="T220" s="72">
        <v>2023</v>
      </c>
      <c r="U220" s="72">
        <v>2024</v>
      </c>
      <c r="V220" s="72">
        <v>2025</v>
      </c>
      <c r="W220" s="72">
        <v>2026</v>
      </c>
      <c r="X220" s="72">
        <v>2027</v>
      </c>
      <c r="Y220" s="72">
        <v>2028</v>
      </c>
      <c r="Z220" s="72">
        <v>2029</v>
      </c>
      <c r="AA220" s="72">
        <v>2030</v>
      </c>
      <c r="AB220" s="72">
        <v>2031</v>
      </c>
      <c r="AC220" s="72">
        <v>2032</v>
      </c>
      <c r="AD220" s="72">
        <v>2033</v>
      </c>
      <c r="AE220" s="72">
        <v>2034</v>
      </c>
      <c r="AF220" s="72">
        <v>2035</v>
      </c>
      <c r="AG220" s="72">
        <v>2036</v>
      </c>
    </row>
    <row r="221" spans="1:33" x14ac:dyDescent="0.25">
      <c r="A221" s="110" t="s">
        <v>51</v>
      </c>
      <c r="B221" s="59" t="s">
        <v>34</v>
      </c>
      <c r="C221" s="52"/>
      <c r="D221" s="86">
        <f>D220*T221</f>
        <v>104.09167999999994</v>
      </c>
      <c r="E221" s="86">
        <f t="shared" ref="E221" si="1378">E220*U221</f>
        <v>112.08271178509023</v>
      </c>
      <c r="F221" s="86">
        <f t="shared" ref="F221" si="1379">F220*V221</f>
        <v>120.83178714625683</v>
      </c>
      <c r="G221" s="86">
        <f t="shared" ref="G221" si="1380">G220*W221</f>
        <v>130.42234814040322</v>
      </c>
      <c r="H221" s="86">
        <f t="shared" ref="H221" si="1381">H220*X221</f>
        <v>140.94818583984039</v>
      </c>
      <c r="I221" s="86">
        <f t="shared" ref="I221" si="1382">I220*Y221</f>
        <v>152.51485997905971</v>
      </c>
      <c r="J221" s="86">
        <f t="shared" ref="J221" si="1383">J220*Z221</f>
        <v>165.24133122406781</v>
      </c>
      <c r="K221" s="86">
        <f t="shared" ref="K221" si="1384">K220*AA221</f>
        <v>179.2618404998282</v>
      </c>
      <c r="L221" s="86">
        <f t="shared" ref="L221" si="1385">L220*AB221</f>
        <v>194.72807579721282</v>
      </c>
      <c r="M221" s="86">
        <f t="shared" ref="M221" si="1386">M220*AC221</f>
        <v>211.81167397681762</v>
      </c>
      <c r="N221" s="86">
        <f t="shared" ref="N221" si="1387">N220*AD221</f>
        <v>230.70711351161913</v>
      </c>
      <c r="O221" s="86">
        <f t="shared" ref="O221" si="1388">O220*AE221</f>
        <v>251.63506412778443</v>
      </c>
      <c r="P221" s="86">
        <f t="shared" ref="P221" si="1389">P220*AF221</f>
        <v>274.84627123253733</v>
      </c>
      <c r="Q221" s="86">
        <f t="shared" ref="Q221" si="1390">Q220*AG221</f>
        <v>300.62606724710059</v>
      </c>
      <c r="R221" s="84">
        <f>RATE(12,,-E221,Q221)</f>
        <v>8.5693740148633957E-2</v>
      </c>
      <c r="S221" s="59" t="s">
        <v>34</v>
      </c>
      <c r="T221" s="12">
        <v>0.56000000000000005</v>
      </c>
      <c r="U221" s="12">
        <v>0.56092161367703952</v>
      </c>
      <c r="V221" s="12">
        <v>0.56184474408938223</v>
      </c>
      <c r="W221" s="12">
        <v>0.56276939373317769</v>
      </c>
      <c r="X221" s="12">
        <v>0.56369556510868446</v>
      </c>
      <c r="Y221" s="12">
        <v>0.56462326072027491</v>
      </c>
      <c r="Z221" s="12">
        <v>0.56555248307644368</v>
      </c>
      <c r="AA221" s="12">
        <v>0.56648323468981299</v>
      </c>
      <c r="AB221" s="12">
        <v>0.56741551807714108</v>
      </c>
      <c r="AC221" s="12">
        <v>0.56834933575932756</v>
      </c>
      <c r="AD221" s="12">
        <v>0.56928469026142059</v>
      </c>
      <c r="AE221" s="12">
        <v>0.57022158411262425</v>
      </c>
      <c r="AF221" s="12">
        <v>0.57116001984630527</v>
      </c>
      <c r="AG221" s="12">
        <v>0.57209999999999905</v>
      </c>
    </row>
    <row r="222" spans="1:33" ht="15.75" thickBot="1" x14ac:dyDescent="0.3">
      <c r="A222" s="111"/>
      <c r="B222" s="60" t="s">
        <v>35</v>
      </c>
      <c r="C222" s="53"/>
      <c r="D222" s="87">
        <f>D220*T222</f>
        <v>81.786319999999932</v>
      </c>
      <c r="E222" s="87">
        <f t="shared" ref="E222" si="1391">E220*U222</f>
        <v>87.73613821490963</v>
      </c>
      <c r="F222" s="87">
        <f t="shared" ref="F222" si="1392">F220*V222</f>
        <v>94.230805175571589</v>
      </c>
      <c r="G222" s="87">
        <f t="shared" ref="G222" si="1393">G220*W222</f>
        <v>101.32861343061559</v>
      </c>
      <c r="H222" s="87">
        <f t="shared" ref="H222" si="1394">H220*X222</f>
        <v>109.09491288963888</v>
      </c>
      <c r="I222" s="87">
        <f t="shared" ref="I222" si="1395">I220*Y222</f>
        <v>117.6030586212129</v>
      </c>
      <c r="J222" s="87">
        <f t="shared" ref="J222" si="1396">J220*Z222</f>
        <v>126.93549792749431</v>
      </c>
      <c r="K222" s="87">
        <f t="shared" ref="K222" si="1397">K220*AA222</f>
        <v>137.18501886395492</v>
      </c>
      <c r="L222" s="87">
        <f t="shared" ref="L222" si="1398">L220*AB222</f>
        <v>148.45618616500448</v>
      </c>
      <c r="M222" s="87">
        <f t="shared" ref="M222" si="1399">M220*AC222</f>
        <v>160.86699502141821</v>
      </c>
      <c r="N222" s="87">
        <f t="shared" ref="N222" si="1400">N220*AD222</f>
        <v>174.55077846800953</v>
      </c>
      <c r="O222" s="87">
        <f t="shared" ref="O222" si="1401">O220*AE222</f>
        <v>189.65841044206647</v>
      </c>
      <c r="P222" s="87">
        <f t="shared" ref="P222" si="1402">P220*AF222</f>
        <v>206.36085406046956</v>
      </c>
      <c r="Q222" s="87">
        <f t="shared" ref="Q222" si="1403">Q220*AG222</f>
        <v>224.85211357286283</v>
      </c>
      <c r="R222" s="85">
        <f>RATE(12,,-E222,Q222)</f>
        <v>8.1583047550055146E-2</v>
      </c>
      <c r="S222" s="60" t="s">
        <v>35</v>
      </c>
      <c r="T222" s="12">
        <f>1-T221</f>
        <v>0.43999999999999995</v>
      </c>
      <c r="U222" s="12">
        <f t="shared" ref="U222" si="1404">1-U221</f>
        <v>0.43907838632296048</v>
      </c>
      <c r="V222" s="12">
        <f t="shared" ref="V222" si="1405">1-V221</f>
        <v>0.43815525591061777</v>
      </c>
      <c r="W222" s="12">
        <f t="shared" ref="W222" si="1406">1-W221</f>
        <v>0.43723060626682231</v>
      </c>
      <c r="X222" s="12">
        <f t="shared" ref="X222" si="1407">1-X221</f>
        <v>0.43630443489131554</v>
      </c>
      <c r="Y222" s="12">
        <f t="shared" ref="Y222" si="1408">1-Y221</f>
        <v>0.43537673927972509</v>
      </c>
      <c r="Z222" s="12">
        <f t="shared" ref="Z222" si="1409">1-Z221</f>
        <v>0.43444751692355632</v>
      </c>
      <c r="AA222" s="12">
        <f t="shared" ref="AA222" si="1410">1-AA221</f>
        <v>0.43351676531018701</v>
      </c>
      <c r="AB222" s="12">
        <f t="shared" ref="AB222" si="1411">1-AB221</f>
        <v>0.43258448192285892</v>
      </c>
      <c r="AC222" s="12">
        <f t="shared" ref="AC222" si="1412">1-AC221</f>
        <v>0.43165066424067244</v>
      </c>
      <c r="AD222" s="12">
        <f t="shared" ref="AD222" si="1413">1-AD221</f>
        <v>0.43071530973857941</v>
      </c>
      <c r="AE222" s="12">
        <f t="shared" ref="AE222" si="1414">1-AE221</f>
        <v>0.42977841588737575</v>
      </c>
      <c r="AF222" s="12">
        <f t="shared" ref="AF222" si="1415">1-AF221</f>
        <v>0.42883998015369473</v>
      </c>
      <c r="AG222" s="12">
        <f t="shared" ref="AG222" si="1416">1-AG221</f>
        <v>0.42790000000000095</v>
      </c>
    </row>
    <row r="223" spans="1:33" ht="15.75" thickBot="1" x14ac:dyDescent="0.3">
      <c r="A223" s="1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21"/>
    </row>
    <row r="224" spans="1:33" x14ac:dyDescent="0.25">
      <c r="A224" s="110" t="s">
        <v>15</v>
      </c>
      <c r="B224" s="64" t="s">
        <v>16</v>
      </c>
      <c r="C224" s="54"/>
      <c r="D224" s="89">
        <f>D220*T224</f>
        <v>87.548537999999922</v>
      </c>
      <c r="E224" s="89">
        <f t="shared" ref="E224" si="1417">E220*U224</f>
        <v>93.991712903846079</v>
      </c>
      <c r="F224" s="89">
        <f t="shared" ref="F224" si="1418">F220*V224</f>
        <v>101.029788562262</v>
      </c>
      <c r="G224" s="89">
        <f t="shared" ref="G224" si="1419">G220*W224</f>
        <v>108.72685497089564</v>
      </c>
      <c r="H224" s="89">
        <f t="shared" ref="H224" si="1420">H220*X224</f>
        <v>117.15480879701987</v>
      </c>
      <c r="I224" s="89">
        <f t="shared" ref="I224" si="1421">I220*Y224</f>
        <v>126.39440760349679</v>
      </c>
      <c r="J224" s="89">
        <f t="shared" ref="J224" si="1422">J220*Z224</f>
        <v>136.53647977659537</v>
      </c>
      <c r="K224" s="89">
        <f t="shared" ref="K224" si="1423">K220*AA224</f>
        <v>147.68331505846706</v>
      </c>
      <c r="L224" s="89">
        <f t="shared" ref="L224" si="1424">L220*AB224</f>
        <v>159.95026486377498</v>
      </c>
      <c r="M224" s="89">
        <f t="shared" ref="M224" si="1425">M220*AC224</f>
        <v>173.4675866237173</v>
      </c>
      <c r="N224" s="89">
        <f t="shared" ref="N224" si="1426">N220*AD224</f>
        <v>188.38257240253043</v>
      </c>
      <c r="O224" s="89">
        <f t="shared" ref="O224" si="1427">O220*AE224</f>
        <v>204.86200915608077</v>
      </c>
      <c r="P224" s="89">
        <f t="shared" ref="P224" si="1428">P220*AF224</f>
        <v>223.09502647238094</v>
      </c>
      <c r="Q224" s="89">
        <f t="shared" ref="Q224" si="1429">Q220*AG224</f>
        <v>243.29639771964304</v>
      </c>
      <c r="R224" s="76">
        <f>RATE(12,,-E224,Q224)</f>
        <v>8.2481566556678237E-2</v>
      </c>
      <c r="S224" s="64" t="s">
        <v>16</v>
      </c>
      <c r="T224" s="12">
        <v>0.47099999999999992</v>
      </c>
      <c r="U224" s="12">
        <v>0.47038461538461535</v>
      </c>
      <c r="V224" s="12">
        <v>0.46976923076923072</v>
      </c>
      <c r="W224" s="12">
        <v>0.46915384615384609</v>
      </c>
      <c r="X224" s="12">
        <v>0.46853846153846151</v>
      </c>
      <c r="Y224" s="12">
        <v>0.46792307692307689</v>
      </c>
      <c r="Z224" s="12">
        <v>0.46730769230769226</v>
      </c>
      <c r="AA224" s="12">
        <v>0.46669230769230763</v>
      </c>
      <c r="AB224" s="12">
        <v>0.46607692307692306</v>
      </c>
      <c r="AC224" s="12">
        <v>0.46546153846153843</v>
      </c>
      <c r="AD224" s="12">
        <v>0.4648461538461538</v>
      </c>
      <c r="AE224" s="12">
        <v>0.46423076923076922</v>
      </c>
      <c r="AF224" s="12">
        <v>0.4636153846153846</v>
      </c>
      <c r="AG224" s="12">
        <v>0.46299999999999997</v>
      </c>
    </row>
    <row r="225" spans="1:33" ht="15.75" thickBot="1" x14ac:dyDescent="0.3">
      <c r="A225" s="111"/>
      <c r="B225" s="65" t="s">
        <v>17</v>
      </c>
      <c r="C225" s="55"/>
      <c r="D225" s="90">
        <f>D220*T225</f>
        <v>98.329461999999964</v>
      </c>
      <c r="E225" s="90">
        <f t="shared" ref="E225" si="1430">E220*U225</f>
        <v>105.82713709615376</v>
      </c>
      <c r="F225" s="90">
        <f t="shared" ref="F225" si="1431">F220*V225</f>
        <v>114.03280375956642</v>
      </c>
      <c r="G225" s="90">
        <f t="shared" ref="G225" si="1432">G220*W225</f>
        <v>123.02410660012316</v>
      </c>
      <c r="H225" s="90">
        <f t="shared" ref="H225" si="1433">H220*X225</f>
        <v>132.8882899324594</v>
      </c>
      <c r="I225" s="90">
        <f t="shared" ref="I225" si="1434">I220*Y225</f>
        <v>143.72351099677584</v>
      </c>
      <c r="J225" s="90">
        <f t="shared" ref="J225" si="1435">J220*Z225</f>
        <v>155.64034937496677</v>
      </c>
      <c r="K225" s="90">
        <f t="shared" ref="K225" si="1436">K220*AA225</f>
        <v>168.76354430531606</v>
      </c>
      <c r="L225" s="90">
        <f t="shared" ref="L225" si="1437">L220*AB225</f>
        <v>183.23399709844233</v>
      </c>
      <c r="M225" s="90">
        <f t="shared" ref="M225" si="1438">M220*AC225</f>
        <v>199.21108237451855</v>
      </c>
      <c r="N225" s="90">
        <f t="shared" ref="N225" si="1439">N220*AD225</f>
        <v>216.87531957709822</v>
      </c>
      <c r="O225" s="90">
        <f t="shared" ref="O225" si="1440">O220*AE225</f>
        <v>236.43146541377013</v>
      </c>
      <c r="P225" s="90">
        <f t="shared" ref="P225" si="1441">P220*AF225</f>
        <v>258.11209882062593</v>
      </c>
      <c r="Q225" s="90">
        <f t="shared" ref="Q225" si="1442">Q220*AG225</f>
        <v>282.18178310032039</v>
      </c>
      <c r="R225" s="77">
        <f>RATE(12,,-E225,Q225)</f>
        <v>8.5161374957882799E-2</v>
      </c>
      <c r="S225" s="65" t="s">
        <v>17</v>
      </c>
      <c r="T225" s="12">
        <f>1-T224</f>
        <v>0.52900000000000014</v>
      </c>
      <c r="U225" s="12">
        <f t="shared" ref="U225" si="1443">1-U224</f>
        <v>0.5296153846153846</v>
      </c>
      <c r="V225" s="12">
        <f t="shared" ref="V225" si="1444">1-V224</f>
        <v>0.53023076923076928</v>
      </c>
      <c r="W225" s="12">
        <f t="shared" ref="W225" si="1445">1-W224</f>
        <v>0.53084615384615397</v>
      </c>
      <c r="X225" s="12">
        <f t="shared" ref="X225" si="1446">1-X224</f>
        <v>0.53146153846153843</v>
      </c>
      <c r="Y225" s="12">
        <f t="shared" ref="Y225" si="1447">1-Y224</f>
        <v>0.53207692307692311</v>
      </c>
      <c r="Z225" s="12">
        <f t="shared" ref="Z225" si="1448">1-Z224</f>
        <v>0.5326923076923078</v>
      </c>
      <c r="AA225" s="12">
        <f t="shared" ref="AA225" si="1449">1-AA224</f>
        <v>0.53330769230769237</v>
      </c>
      <c r="AB225" s="12">
        <f t="shared" ref="AB225" si="1450">1-AB224</f>
        <v>0.53392307692307694</v>
      </c>
      <c r="AC225" s="12">
        <f t="shared" ref="AC225" si="1451">1-AC224</f>
        <v>0.53453846153846163</v>
      </c>
      <c r="AD225" s="12">
        <f t="shared" ref="AD225" si="1452">1-AD224</f>
        <v>0.5351538461538462</v>
      </c>
      <c r="AE225" s="12">
        <f t="shared" ref="AE225" si="1453">1-AE224</f>
        <v>0.53576923076923078</v>
      </c>
      <c r="AF225" s="12">
        <f t="shared" ref="AF225" si="1454">1-AF224</f>
        <v>0.53638461538461546</v>
      </c>
      <c r="AG225" s="12">
        <f t="shared" ref="AG225" si="1455">1-AG224</f>
        <v>0.53700000000000003</v>
      </c>
    </row>
    <row r="226" spans="1:33" ht="15.75" thickBot="1" x14ac:dyDescent="0.3">
      <c r="A226" s="1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21"/>
    </row>
    <row r="227" spans="1:33" x14ac:dyDescent="0.25">
      <c r="A227" s="110" t="s">
        <v>18</v>
      </c>
      <c r="B227" s="61" t="s">
        <v>19</v>
      </c>
      <c r="C227" s="56"/>
      <c r="D227" s="91">
        <f>D220*T227</f>
        <v>74.537077999999937</v>
      </c>
      <c r="E227" s="91">
        <f t="shared" ref="E227" si="1456">E220*U227</f>
        <v>80.457240854739084</v>
      </c>
      <c r="F227" s="91">
        <f t="shared" ref="F227" si="1457">F220*V227</f>
        <v>86.951657203667438</v>
      </c>
      <c r="G227" s="91">
        <f t="shared" ref="G227" si="1458">G220*W227</f>
        <v>94.084664214312582</v>
      </c>
      <c r="H227" s="91">
        <f t="shared" ref="H227" si="1459">H220*X227</f>
        <v>101.92869739637025</v>
      </c>
      <c r="I227" s="91">
        <f t="shared" ref="I227" si="1460">I220*Y227</f>
        <v>110.5654158414698</v>
      </c>
      <c r="J227" s="91">
        <f t="shared" ref="J227" si="1461">J220*Z227</f>
        <v>120.08699792018892</v>
      </c>
      <c r="K227" s="91">
        <f t="shared" ref="K227" si="1462">K220*AA227</f>
        <v>130.59763532781795</v>
      </c>
      <c r="L227" s="91">
        <f t="shared" ref="L227" si="1463">L220*AB227</f>
        <v>142.21525826438832</v>
      </c>
      <c r="M227" s="91">
        <f t="shared" ref="M227" si="1464">M220*AC227</f>
        <v>155.0735303439956</v>
      </c>
      <c r="N227" s="91">
        <f t="shared" ref="N227" si="1465">N220*AD227</f>
        <v>169.32415873517749</v>
      </c>
      <c r="O227" s="91">
        <f t="shared" ref="O227" si="1466">O220*AE227</f>
        <v>185.13957325785961</v>
      </c>
      <c r="P227" s="91">
        <f t="shared" ref="P227" si="1467">P220*AF227</f>
        <v>202.71603796950646</v>
      </c>
      <c r="Q227" s="91">
        <f t="shared" ref="Q227" si="1468">Q220*AG227</f>
        <v>222.2772704868442</v>
      </c>
      <c r="R227" s="78">
        <f>RATE(12,,-E227,Q227)</f>
        <v>8.8372333205388717E-2</v>
      </c>
      <c r="S227" s="61" t="s">
        <v>19</v>
      </c>
      <c r="T227" s="12">
        <v>0.40099999999999997</v>
      </c>
      <c r="U227" s="12">
        <v>0.40265090533119946</v>
      </c>
      <c r="V227" s="12">
        <v>0.40430860739160734</v>
      </c>
      <c r="W227" s="12">
        <v>0.40597313416316017</v>
      </c>
      <c r="X227" s="12">
        <v>0.40764451374299493</v>
      </c>
      <c r="Y227" s="12">
        <v>0.40932277434392395</v>
      </c>
      <c r="Z227" s="12">
        <v>0.41100794429491083</v>
      </c>
      <c r="AA227" s="12">
        <v>0.4127000520415488</v>
      </c>
      <c r="AB227" s="12">
        <v>0.41439912614654062</v>
      </c>
      <c r="AC227" s="12">
        <v>0.41610519529018092</v>
      </c>
      <c r="AD227" s="12">
        <v>0.41781828827084017</v>
      </c>
      <c r="AE227" s="12">
        <v>0.4195384340054511</v>
      </c>
      <c r="AF227" s="12">
        <v>0.4212656615299965</v>
      </c>
      <c r="AG227" s="12">
        <v>0.42299999999999938</v>
      </c>
    </row>
    <row r="228" spans="1:33" ht="15.75" thickBot="1" x14ac:dyDescent="0.3">
      <c r="A228" s="111"/>
      <c r="B228" s="63" t="s">
        <v>20</v>
      </c>
      <c r="C228" s="51"/>
      <c r="D228" s="92">
        <f>D220*T228</f>
        <v>111.34092199999992</v>
      </c>
      <c r="E228" s="92">
        <f t="shared" ref="E228" si="1469">E220*U228</f>
        <v>119.36160914526076</v>
      </c>
      <c r="F228" s="92">
        <f t="shared" ref="F228" si="1470">F220*V228</f>
        <v>128.110935118161</v>
      </c>
      <c r="G228" s="92">
        <f t="shared" ref="G228" si="1471">G220*W228</f>
        <v>137.6662973567062</v>
      </c>
      <c r="H228" s="92">
        <f t="shared" ref="H228" si="1472">H220*X228</f>
        <v>148.11440133310902</v>
      </c>
      <c r="I228" s="92">
        <f t="shared" ref="I228" si="1473">I220*Y228</f>
        <v>159.5525027588028</v>
      </c>
      <c r="J228" s="92">
        <f t="shared" ref="J228" si="1474">J220*Z228</f>
        <v>172.08983123137318</v>
      </c>
      <c r="K228" s="92">
        <f t="shared" ref="K228" si="1475">K220*AA228</f>
        <v>185.84922403596516</v>
      </c>
      <c r="L228" s="92">
        <f t="shared" ref="L228" si="1476">L220*AB228</f>
        <v>200.96900369782898</v>
      </c>
      <c r="M228" s="92">
        <f t="shared" ref="M228" si="1477">M220*AC228</f>
        <v>217.60513865424022</v>
      </c>
      <c r="N228" s="92">
        <f t="shared" ref="N228" si="1478">N220*AD228</f>
        <v>235.93373324445119</v>
      </c>
      <c r="O228" s="92">
        <f t="shared" ref="O228" si="1479">O220*AE228</f>
        <v>256.15390131199132</v>
      </c>
      <c r="P228" s="92">
        <f t="shared" ref="P228" si="1480">P220*AF228</f>
        <v>278.49108732350038</v>
      </c>
      <c r="Q228" s="92">
        <f t="shared" ref="Q228" si="1481">Q220*AG228</f>
        <v>303.20091033311923</v>
      </c>
      <c r="R228" s="79">
        <f>RATE(12,,-E228,Q228)</f>
        <v>8.0783783294638895E-2</v>
      </c>
      <c r="S228" s="63" t="s">
        <v>20</v>
      </c>
      <c r="T228" s="12">
        <f>1-T227</f>
        <v>0.59899999999999998</v>
      </c>
      <c r="U228" s="12">
        <f t="shared" ref="U228" si="1482">1-U227</f>
        <v>0.59734909466880048</v>
      </c>
      <c r="V228" s="12">
        <f t="shared" ref="V228" si="1483">1-V227</f>
        <v>0.59569139260839266</v>
      </c>
      <c r="W228" s="12">
        <f t="shared" ref="W228" si="1484">1-W227</f>
        <v>0.59402686583683983</v>
      </c>
      <c r="X228" s="12">
        <f t="shared" ref="X228" si="1485">1-X227</f>
        <v>0.59235548625700507</v>
      </c>
      <c r="Y228" s="12">
        <f t="shared" ref="Y228" si="1486">1-Y227</f>
        <v>0.59067722565607605</v>
      </c>
      <c r="Z228" s="12">
        <f t="shared" ref="Z228" si="1487">1-Z227</f>
        <v>0.58899205570508917</v>
      </c>
      <c r="AA228" s="12">
        <f t="shared" ref="AA228" si="1488">1-AA227</f>
        <v>0.5872999479584512</v>
      </c>
      <c r="AB228" s="12">
        <f t="shared" ref="AB228" si="1489">1-AB227</f>
        <v>0.58560087385345938</v>
      </c>
      <c r="AC228" s="12">
        <f t="shared" ref="AC228" si="1490">1-AC227</f>
        <v>0.58389480470981914</v>
      </c>
      <c r="AD228" s="12">
        <f t="shared" ref="AD228" si="1491">1-AD227</f>
        <v>0.58218171172915989</v>
      </c>
      <c r="AE228" s="12">
        <f t="shared" ref="AE228" si="1492">1-AE227</f>
        <v>0.5804615659945489</v>
      </c>
      <c r="AF228" s="12">
        <f t="shared" ref="AF228" si="1493">1-AF227</f>
        <v>0.57873433847000344</v>
      </c>
      <c r="AG228" s="12">
        <f t="shared" ref="AG228" si="1494">1-AG227</f>
        <v>0.57700000000000062</v>
      </c>
    </row>
    <row r="229" spans="1:33" ht="15.75" thickBot="1" x14ac:dyDescent="0.3">
      <c r="A229" s="2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21"/>
    </row>
    <row r="230" spans="1:33" x14ac:dyDescent="0.25">
      <c r="A230" s="110" t="s">
        <v>14</v>
      </c>
      <c r="B230" s="66" t="s">
        <v>21</v>
      </c>
      <c r="C230" s="57"/>
      <c r="D230" s="93">
        <f>D220*T230</f>
        <v>46.469499999999968</v>
      </c>
      <c r="E230" s="93">
        <f t="shared" ref="E230" si="1495">E220*U230</f>
        <v>50.265617720918236</v>
      </c>
      <c r="F230" s="93">
        <f t="shared" ref="F230" si="1496">F220*V230</f>
        <v>54.43697768887904</v>
      </c>
      <c r="G230" s="93">
        <f t="shared" ref="G230" si="1497">G220*W230</f>
        <v>59.026255578660333</v>
      </c>
      <c r="H230" s="93">
        <f t="shared" ref="H230" si="1498">H220*X230</f>
        <v>64.081566797898603</v>
      </c>
      <c r="I230" s="93">
        <f t="shared" ref="I230" si="1499">I220*Y230</f>
        <v>69.657230620556192</v>
      </c>
      <c r="J230" s="93">
        <f t="shared" ref="J230" si="1500">J220*Z230</f>
        <v>75.814651203440903</v>
      </c>
      <c r="K230" s="93">
        <f t="shared" ref="K230" si="1501">K220*AA230</f>
        <v>82.623334779235989</v>
      </c>
      <c r="L230" s="93">
        <f t="shared" ref="L230" si="1502">L220*AB230</f>
        <v>90.162065732043942</v>
      </c>
      <c r="M230" s="93">
        <f t="shared" ref="M230" si="1503">M220*AC230</f>
        <v>98.520268317093354</v>
      </c>
      <c r="N230" s="93">
        <f t="shared" ref="N230" si="1504">N220*AD230</f>
        <v>107.79958561353067</v>
      </c>
      <c r="O230" s="93">
        <f t="shared" ref="O230" si="1505">O220*AE230</f>
        <v>118.11571305376071</v>
      </c>
      <c r="P230" s="93">
        <f t="shared" ref="P230" si="1506">P220*AF230</f>
        <v>129.60053074342562</v>
      </c>
      <c r="Q230" s="93">
        <f t="shared" ref="Q230" si="1507">Q220*AG230</f>
        <v>142.40458700221015</v>
      </c>
      <c r="R230" s="80">
        <f t="shared" ref="R230:R235" si="1508">RATE(12,,-E230,Q230)</f>
        <v>9.0655882816267394E-2</v>
      </c>
      <c r="S230" s="66" t="s">
        <v>21</v>
      </c>
      <c r="T230" s="12">
        <v>0.25</v>
      </c>
      <c r="U230" s="12">
        <v>0.25155593539307364</v>
      </c>
      <c r="V230" s="12">
        <v>0.25312155452593693</v>
      </c>
      <c r="W230" s="12">
        <v>0.25469691766768382</v>
      </c>
      <c r="X230" s="12">
        <v>0.25628208546250747</v>
      </c>
      <c r="Y230" s="12">
        <v>0.2578771189320348</v>
      </c>
      <c r="Z230" s="12">
        <v>0.25948207947767565</v>
      </c>
      <c r="AA230" s="12">
        <v>0.2610970288829863</v>
      </c>
      <c r="AB230" s="12">
        <v>0.26272202931604799</v>
      </c>
      <c r="AC230" s="12">
        <v>0.26435714333185978</v>
      </c>
      <c r="AD230" s="12">
        <v>0.26600243387474731</v>
      </c>
      <c r="AE230" s="12">
        <v>0.26765796428078514</v>
      </c>
      <c r="AF230" s="12">
        <v>0.26932379828023517</v>
      </c>
      <c r="AG230" s="12">
        <v>0.27100000000000013</v>
      </c>
    </row>
    <row r="231" spans="1:33" x14ac:dyDescent="0.25">
      <c r="A231" s="112"/>
      <c r="B231" s="67" t="s">
        <v>22</v>
      </c>
      <c r="C231" s="48"/>
      <c r="D231" s="94">
        <f>D220*T231</f>
        <v>70.633639999999957</v>
      </c>
      <c r="E231" s="94">
        <f t="shared" ref="E231" si="1509">E220*U231</f>
        <v>76.112976049633417</v>
      </c>
      <c r="F231" s="94">
        <f t="shared" ref="F231" si="1510">F220*V231</f>
        <v>82.115619972806115</v>
      </c>
      <c r="G231" s="94">
        <f t="shared" ref="G231" si="1511">G220*W231</f>
        <v>88.699484556589866</v>
      </c>
      <c r="H231" s="94">
        <f t="shared" ref="H231" si="1512">H220*X231</f>
        <v>95.929697563250457</v>
      </c>
      <c r="I231" s="94">
        <f t="shared" ref="I231" si="1513">I220*Y231</f>
        <v>103.87959531145523</v>
      </c>
      <c r="J231" s="94">
        <f t="shared" ref="J231" si="1514">J220*Z231</f>
        <v>112.63186558144822</v>
      </c>
      <c r="K231" s="94">
        <f t="shared" ref="K231" si="1515">K220*AA231</f>
        <v>122.27986410346865</v>
      </c>
      <c r="L231" s="94">
        <f t="shared" ref="L231" si="1516">L220*AB231</f>
        <v>132.92913311762666</v>
      </c>
      <c r="M231" s="94">
        <f t="shared" ref="M231" si="1517">M220*AC231</f>
        <v>144.69915550871482</v>
      </c>
      <c r="N231" s="94">
        <f t="shared" ref="N231" si="1518">N220*AD231</f>
        <v>157.725383976231</v>
      </c>
      <c r="O231" s="94">
        <f t="shared" ref="O231" si="1519">O220*AE231</f>
        <v>172.16159178578042</v>
      </c>
      <c r="P231" s="94">
        <f t="shared" ref="P231" si="1520">P220*AF231</f>
        <v>188.18260009009055</v>
      </c>
      <c r="Q231" s="94">
        <f t="shared" ref="Q231" si="1521">Q220*AG231</f>
        <v>205.98744688142568</v>
      </c>
      <c r="R231" s="81">
        <f t="shared" si="1508"/>
        <v>8.6505271115396035E-2</v>
      </c>
      <c r="S231" s="67" t="s">
        <v>22</v>
      </c>
      <c r="T231" s="12">
        <v>0.38</v>
      </c>
      <c r="U231" s="12">
        <v>0.38090988938047371</v>
      </c>
      <c r="V231" s="12">
        <v>0.38182195744169661</v>
      </c>
      <c r="W231" s="12">
        <v>0.38273620940040159</v>
      </c>
      <c r="X231" s="12">
        <v>0.38365265048581265</v>
      </c>
      <c r="Y231" s="12">
        <v>0.38457128593967477</v>
      </c>
      <c r="Z231" s="12">
        <v>0.38549212101628438</v>
      </c>
      <c r="AA231" s="12">
        <v>0.38641516098251855</v>
      </c>
      <c r="AB231" s="12">
        <v>0.38734041111786593</v>
      </c>
      <c r="AC231" s="12">
        <v>0.38826787671445667</v>
      </c>
      <c r="AD231" s="12">
        <v>0.38919756307709236</v>
      </c>
      <c r="AE231" s="12">
        <v>0.39012947552327681</v>
      </c>
      <c r="AF231" s="12">
        <v>0.3910636193832463</v>
      </c>
      <c r="AG231" s="12">
        <v>0.39200000000000002</v>
      </c>
    </row>
    <row r="232" spans="1:33" x14ac:dyDescent="0.25">
      <c r="A232" s="112"/>
      <c r="B232" s="68" t="s">
        <v>23</v>
      </c>
      <c r="C232" s="48"/>
      <c r="D232" s="95">
        <f>D231*T232</f>
        <v>24.721773999999975</v>
      </c>
      <c r="E232" s="95">
        <f t="shared" ref="E232" si="1522">E231*U232</f>
        <v>26.592799411204091</v>
      </c>
      <c r="F232" s="95">
        <f t="shared" ref="F232" si="1523">F231*V232</f>
        <v>28.639698420030975</v>
      </c>
      <c r="G232" s="95">
        <f t="shared" ref="G232" si="1524">G231*W232</f>
        <v>30.881690806419861</v>
      </c>
      <c r="H232" s="95">
        <f t="shared" ref="H232" si="1525">H231*X232</f>
        <v>33.340365732022967</v>
      </c>
      <c r="I232" s="95">
        <f t="shared" ref="I232" si="1526">I231*Y232</f>
        <v>36.040005065345582</v>
      </c>
      <c r="J232" s="95">
        <f t="shared" ref="J232" si="1527">J231*Z232</f>
        <v>39.007954907077071</v>
      </c>
      <c r="K232" s="95">
        <f t="shared" ref="K232" si="1528">K231*AA232</f>
        <v>42.275053089252346</v>
      </c>
      <c r="L232" s="95">
        <f t="shared" ref="L232" si="1529">L231*AB232</f>
        <v>45.876121767989481</v>
      </c>
      <c r="M232" s="95">
        <f t="shared" ref="M232" si="1530">M231*AC232</f>
        <v>49.850535824413612</v>
      </c>
      <c r="N232" s="95">
        <f t="shared" ref="N232" si="1531">N231*AD232</f>
        <v>54.24287968081876</v>
      </c>
      <c r="O232" s="95">
        <f t="shared" ref="O232" si="1532">O231*AE232</f>
        <v>59.103707388081745</v>
      </c>
      <c r="P232" s="95">
        <f t="shared" ref="P232" si="1533">P231*AF232</f>
        <v>64.490423517119851</v>
      </c>
      <c r="Q232" s="95">
        <f t="shared" ref="Q232" si="1534">Q231*AG232</f>
        <v>70.468305578135684</v>
      </c>
      <c r="R232" s="81">
        <f t="shared" si="1508"/>
        <v>8.4598869942504928E-2</v>
      </c>
      <c r="S232" s="68" t="s">
        <v>23</v>
      </c>
      <c r="T232" s="74">
        <v>0.34999999999999987</v>
      </c>
      <c r="U232" s="74">
        <v>0.34938588387166564</v>
      </c>
      <c r="V232" s="74">
        <v>0.34877284528224306</v>
      </c>
      <c r="W232" s="74">
        <v>0.34816088234106346</v>
      </c>
      <c r="X232" s="74">
        <v>0.34754999316077562</v>
      </c>
      <c r="Y232" s="74">
        <v>0.34694017585733994</v>
      </c>
      <c r="Z232" s="74">
        <v>0.34633142855002247</v>
      </c>
      <c r="AA232" s="74">
        <v>0.34572374936138933</v>
      </c>
      <c r="AB232" s="74">
        <v>0.34511713641730069</v>
      </c>
      <c r="AC232" s="74">
        <v>0.34451158784690528</v>
      </c>
      <c r="AD232" s="74">
        <v>0.34390710178263434</v>
      </c>
      <c r="AE232" s="74">
        <v>0.34330367636019604</v>
      </c>
      <c r="AF232" s="74">
        <v>0.34270130971856966</v>
      </c>
      <c r="AG232" s="74">
        <v>0.34209999999999979</v>
      </c>
    </row>
    <row r="233" spans="1:33" x14ac:dyDescent="0.25">
      <c r="A233" s="112"/>
      <c r="B233" s="68" t="s">
        <v>24</v>
      </c>
      <c r="C233" s="48"/>
      <c r="D233" s="95">
        <f>D231*T233</f>
        <v>19.77741919999999</v>
      </c>
      <c r="E233" s="95">
        <f t="shared" ref="E233" si="1535">E231*U233</f>
        <v>21.386162229896705</v>
      </c>
      <c r="F233" s="95">
        <f t="shared" ref="F233" si="1536">F231*V233</f>
        <v>23.153468092040377</v>
      </c>
      <c r="G233" s="95">
        <f t="shared" ref="G233" si="1537">G231*W233</f>
        <v>25.097328438212198</v>
      </c>
      <c r="H233" s="95">
        <f t="shared" ref="H233" si="1538">H231*X233</f>
        <v>27.238023832795299</v>
      </c>
      <c r="I233" s="95">
        <f t="shared" ref="I233" si="1539">I231*Y233</f>
        <v>29.598444743259158</v>
      </c>
      <c r="J233" s="95">
        <f t="shared" ref="J233" si="1540">J231*Z233</f>
        <v>32.204461556722968</v>
      </c>
      <c r="K233" s="95">
        <f t="shared" ref="K233" si="1541">K231*AA233</f>
        <v>35.085351704270686</v>
      </c>
      <c r="L233" s="95">
        <f t="shared" ref="L233" si="1542">L231*AB233</f>
        <v>38.274293402385176</v>
      </c>
      <c r="M233" s="95">
        <f t="shared" ref="M233" si="1543">M231*AC233</f>
        <v>41.808937217310337</v>
      </c>
      <c r="N233" s="95">
        <f t="shared" ref="N233" si="1544">N231*AD233</f>
        <v>45.732068676991112</v>
      </c>
      <c r="O233" s="95">
        <f t="shared" ref="O233" si="1545">O231*AE233</f>
        <v>50.0923775614447</v>
      </c>
      <c r="P233" s="95">
        <f t="shared" ref="P233" si="1546">P231*AF233</f>
        <v>54.945352374774018</v>
      </c>
      <c r="Q233" s="95">
        <f t="shared" ref="Q233" si="1547">Q231*AG233</f>
        <v>60.354321936257655</v>
      </c>
      <c r="R233" s="81">
        <f t="shared" si="1508"/>
        <v>9.0304889891141146E-2</v>
      </c>
      <c r="S233" s="68" t="s">
        <v>24</v>
      </c>
      <c r="T233" s="74">
        <v>0.28000000000000003</v>
      </c>
      <c r="U233" s="74">
        <v>0.28097918830490543</v>
      </c>
      <c r="V233" s="74">
        <v>0.28196180093029821</v>
      </c>
      <c r="W233" s="74">
        <v>0.28294784985137333</v>
      </c>
      <c r="X233" s="74">
        <v>0.28393734708520407</v>
      </c>
      <c r="Y233" s="74">
        <v>0.28493030469088876</v>
      </c>
      <c r="Z233" s="74">
        <v>0.28592673476969749</v>
      </c>
      <c r="AA233" s="74">
        <v>0.28692664946521995</v>
      </c>
      <c r="AB233" s="74">
        <v>0.28793006096351298</v>
      </c>
      <c r="AC233" s="74">
        <v>0.28893698149324931</v>
      </c>
      <c r="AD233" s="74">
        <v>0.28994742332586665</v>
      </c>
      <c r="AE233" s="74">
        <v>0.29096139877571725</v>
      </c>
      <c r="AF233" s="74">
        <v>0.29197892020021765</v>
      </c>
      <c r="AG233" s="74">
        <v>0.29299999999999965</v>
      </c>
    </row>
    <row r="234" spans="1:33" x14ac:dyDescent="0.25">
      <c r="A234" s="112"/>
      <c r="B234" s="68" t="s">
        <v>25</v>
      </c>
      <c r="C234" s="48"/>
      <c r="D234" s="95">
        <f>D231*T234</f>
        <v>26.134446799999992</v>
      </c>
      <c r="E234" s="95">
        <f t="shared" ref="E234" si="1548">E231*U234</f>
        <v>28.134014408532629</v>
      </c>
      <c r="F234" s="95">
        <f t="shared" ref="F234" si="1549">F231*V234</f>
        <v>30.322453460734764</v>
      </c>
      <c r="G234" s="95">
        <f t="shared" ref="G234" si="1550">G231*W234</f>
        <v>32.72046531195781</v>
      </c>
      <c r="H234" s="95">
        <f t="shared" ref="H234" si="1551">H231*X234</f>
        <v>35.351307998432183</v>
      </c>
      <c r="I234" s="95">
        <f t="shared" ref="I234" si="1552">I231*Y234</f>
        <v>38.241145502850493</v>
      </c>
      <c r="J234" s="95">
        <f t="shared" ref="J234" si="1553">J231*Z234</f>
        <v>41.419449117648185</v>
      </c>
      <c r="K234" s="95">
        <f t="shared" ref="K234" si="1554">K231*AA234</f>
        <v>44.91945930994563</v>
      </c>
      <c r="L234" s="95">
        <f t="shared" ref="L234" si="1555">L231*AB234</f>
        <v>48.778717947252012</v>
      </c>
      <c r="M234" s="95">
        <f t="shared" ref="M234" si="1556">M231*AC234</f>
        <v>53.039682466990868</v>
      </c>
      <c r="N234" s="95">
        <f t="shared" ref="N234" si="1557">N231*AD234</f>
        <v>57.750435618421122</v>
      </c>
      <c r="O234" s="95">
        <f t="shared" ref="O234" si="1558">O231*AE234</f>
        <v>62.965506836253958</v>
      </c>
      <c r="P234" s="95">
        <f t="shared" ref="P234" si="1559">P231*AF234</f>
        <v>68.746824198196677</v>
      </c>
      <c r="Q234" s="95">
        <f t="shared" ref="Q234" si="1560">Q231*AG234</f>
        <v>75.164819367032351</v>
      </c>
      <c r="R234" s="81">
        <f t="shared" si="1508"/>
        <v>8.5338584440428189E-2</v>
      </c>
      <c r="S234" s="68" t="s">
        <v>25</v>
      </c>
      <c r="T234" s="74">
        <f>1-SUM(T232:T233)</f>
        <v>0.37000000000000011</v>
      </c>
      <c r="U234" s="74">
        <f t="shared" ref="U234" si="1561">1-SUM(U232:U233)</f>
        <v>0.36963492782342899</v>
      </c>
      <c r="V234" s="74">
        <f t="shared" ref="V234" si="1562">1-SUM(V232:V233)</f>
        <v>0.36926535378745873</v>
      </c>
      <c r="W234" s="74">
        <f t="shared" ref="W234" si="1563">1-SUM(W232:W233)</f>
        <v>0.36889126780756321</v>
      </c>
      <c r="X234" s="74">
        <f t="shared" ref="X234" si="1564">1-SUM(X232:X233)</f>
        <v>0.36851265975402026</v>
      </c>
      <c r="Y234" s="74">
        <f t="shared" ref="Y234" si="1565">1-SUM(Y232:Y233)</f>
        <v>0.3681295194517713</v>
      </c>
      <c r="Z234" s="74">
        <f t="shared" ref="Z234" si="1566">1-SUM(Z232:Z233)</f>
        <v>0.36774183668028004</v>
      </c>
      <c r="AA234" s="74">
        <f t="shared" ref="AA234" si="1567">1-SUM(AA232:AA233)</f>
        <v>0.36734960117339077</v>
      </c>
      <c r="AB234" s="74">
        <f t="shared" ref="AB234" si="1568">1-SUM(AB232:AB233)</f>
        <v>0.36695280261918639</v>
      </c>
      <c r="AC234" s="74">
        <f t="shared" ref="AC234" si="1569">1-SUM(AC232:AC233)</f>
        <v>0.36655143065984541</v>
      </c>
      <c r="AD234" s="74">
        <f t="shared" ref="AD234" si="1570">1-SUM(AD232:AD233)</f>
        <v>0.36614547489149896</v>
      </c>
      <c r="AE234" s="74">
        <f t="shared" ref="AE234" si="1571">1-SUM(AE232:AE233)</f>
        <v>0.36573492486408665</v>
      </c>
      <c r="AF234" s="74">
        <f t="shared" ref="AF234" si="1572">1-SUM(AF232:AF233)</f>
        <v>0.36531977008121275</v>
      </c>
      <c r="AG234" s="74">
        <f t="shared" ref="AG234" si="1573">1-SUM(AG232:AG233)</f>
        <v>0.36490000000000056</v>
      </c>
    </row>
    <row r="235" spans="1:33" ht="15.75" thickBot="1" x14ac:dyDescent="0.3">
      <c r="A235" s="111"/>
      <c r="B235" s="69" t="s">
        <v>26</v>
      </c>
      <c r="C235" s="58"/>
      <c r="D235" s="96">
        <f>D220*T235</f>
        <v>68.774859999999947</v>
      </c>
      <c r="E235" s="96">
        <f t="shared" ref="E235" si="1574">E220*U235</f>
        <v>73.440256229448224</v>
      </c>
      <c r="F235" s="96">
        <f t="shared" ref="F235" si="1575">F220*V235</f>
        <v>78.509994660143263</v>
      </c>
      <c r="G235" s="96">
        <f t="shared" ref="G235" si="1576">G220*W235</f>
        <v>84.025221435768586</v>
      </c>
      <c r="H235" s="96">
        <f t="shared" ref="H235" si="1577">H220*X235</f>
        <v>90.031834368330237</v>
      </c>
      <c r="I235" s="96">
        <f t="shared" ref="I235" si="1578">I220*Y235</f>
        <v>96.581092668261178</v>
      </c>
      <c r="J235" s="96">
        <f t="shared" ref="J235" si="1579">J220*Z235</f>
        <v>103.73031236667299</v>
      </c>
      <c r="K235" s="96">
        <f t="shared" ref="K235" si="1580">K220*AA235</f>
        <v>111.54366048107848</v>
      </c>
      <c r="L235" s="96">
        <f t="shared" ref="L235" si="1581">L220*AB235</f>
        <v>120.0930631125467</v>
      </c>
      <c r="M235" s="96">
        <f t="shared" ref="M235" si="1582">M220*AC235</f>
        <v>129.45924517242764</v>
      </c>
      <c r="N235" s="96">
        <f t="shared" ref="N235" si="1583">N220*AD235</f>
        <v>139.73292238986701</v>
      </c>
      <c r="O235" s="96">
        <f t="shared" ref="O235" si="1584">O220*AE235</f>
        <v>151.01616973030974</v>
      </c>
      <c r="P235" s="96">
        <f t="shared" ref="P235" si="1585">P220*AF235</f>
        <v>163.4239944594907</v>
      </c>
      <c r="Q235" s="96">
        <f t="shared" ref="Q235" si="1586">Q220*AG235</f>
        <v>177.08614693632759</v>
      </c>
      <c r="R235" s="82">
        <f t="shared" si="1508"/>
        <v>7.6103887783096319E-2</v>
      </c>
      <c r="S235" s="69" t="s">
        <v>26</v>
      </c>
      <c r="T235" s="12">
        <f>1-SUM(T230+T231)</f>
        <v>0.37</v>
      </c>
      <c r="U235" s="12">
        <f t="shared" ref="U235:AG235" si="1587">1-SUM(U230+U231)</f>
        <v>0.36753417522645271</v>
      </c>
      <c r="V235" s="12">
        <f t="shared" si="1587"/>
        <v>0.36505648803236646</v>
      </c>
      <c r="W235" s="12">
        <f t="shared" si="1587"/>
        <v>0.36256687293191459</v>
      </c>
      <c r="X235" s="12">
        <f t="shared" si="1587"/>
        <v>0.36006526405167993</v>
      </c>
      <c r="Y235" s="12">
        <f t="shared" si="1587"/>
        <v>0.35755159512829038</v>
      </c>
      <c r="Z235" s="12">
        <f t="shared" si="1587"/>
        <v>0.35502579950603996</v>
      </c>
      <c r="AA235" s="12">
        <f t="shared" si="1587"/>
        <v>0.35248781013449515</v>
      </c>
      <c r="AB235" s="12">
        <f t="shared" si="1587"/>
        <v>0.34993755956608608</v>
      </c>
      <c r="AC235" s="12">
        <f t="shared" si="1587"/>
        <v>0.3473749799536836</v>
      </c>
      <c r="AD235" s="12">
        <f t="shared" si="1587"/>
        <v>0.34480000304816039</v>
      </c>
      <c r="AE235" s="12">
        <f t="shared" si="1587"/>
        <v>0.34221256019593804</v>
      </c>
      <c r="AF235" s="12">
        <f t="shared" si="1587"/>
        <v>0.33961258233651859</v>
      </c>
      <c r="AG235" s="12">
        <f t="shared" si="1587"/>
        <v>0.33699999999999986</v>
      </c>
    </row>
    <row r="236" spans="1:33" ht="15.75" thickBot="1" x14ac:dyDescent="0.3">
      <c r="A236" s="2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21"/>
    </row>
    <row r="237" spans="1:33" x14ac:dyDescent="0.25">
      <c r="A237" s="113" t="s">
        <v>27</v>
      </c>
      <c r="B237" s="61" t="s">
        <v>28</v>
      </c>
      <c r="C237" s="56"/>
      <c r="D237" s="91">
        <f>D220*T237</f>
        <v>74.537077999999937</v>
      </c>
      <c r="E237" s="91">
        <f t="shared" ref="E237" si="1588">E220*U237</f>
        <v>80.457240854739084</v>
      </c>
      <c r="F237" s="91">
        <f t="shared" ref="F237" si="1589">F220*V237</f>
        <v>86.951657203667438</v>
      </c>
      <c r="G237" s="91">
        <f t="shared" ref="G237" si="1590">G220*W237</f>
        <v>94.084664214312582</v>
      </c>
      <c r="H237" s="91">
        <f t="shared" ref="H237" si="1591">H220*X237</f>
        <v>101.92869739637025</v>
      </c>
      <c r="I237" s="91">
        <f t="shared" ref="I237" si="1592">I220*Y237</f>
        <v>110.5654158414698</v>
      </c>
      <c r="J237" s="91">
        <f t="shared" ref="J237" si="1593">J220*Z237</f>
        <v>120.08699792018892</v>
      </c>
      <c r="K237" s="91">
        <f t="shared" ref="K237" si="1594">K220*AA237</f>
        <v>130.59763532781795</v>
      </c>
      <c r="L237" s="91">
        <f t="shared" ref="L237" si="1595">L220*AB237</f>
        <v>142.21525826438832</v>
      </c>
      <c r="M237" s="91">
        <f t="shared" ref="M237" si="1596">M220*AC237</f>
        <v>155.0735303439956</v>
      </c>
      <c r="N237" s="91">
        <f t="shared" ref="N237" si="1597">N220*AD237</f>
        <v>169.32415873517749</v>
      </c>
      <c r="O237" s="91">
        <f t="shared" ref="O237" si="1598">O220*AE237</f>
        <v>185.13957325785961</v>
      </c>
      <c r="P237" s="91">
        <f t="shared" ref="P237" si="1599">P220*AF237</f>
        <v>202.71603796950646</v>
      </c>
      <c r="Q237" s="91">
        <f t="shared" ref="Q237" si="1600">Q220*AG237</f>
        <v>222.2772704868442</v>
      </c>
      <c r="R237" s="78">
        <f>RATE(12,,-E237,Q237)</f>
        <v>8.8372333205388717E-2</v>
      </c>
      <c r="S237" s="61" t="s">
        <v>28</v>
      </c>
      <c r="T237" s="12">
        <v>0.40099999999999997</v>
      </c>
      <c r="U237" s="12">
        <v>0.40265090533119946</v>
      </c>
      <c r="V237" s="12">
        <v>0.40430860739160734</v>
      </c>
      <c r="W237" s="12">
        <v>0.40597313416316017</v>
      </c>
      <c r="X237" s="12">
        <v>0.40764451374299493</v>
      </c>
      <c r="Y237" s="12">
        <v>0.40932277434392395</v>
      </c>
      <c r="Z237" s="12">
        <v>0.41100794429491083</v>
      </c>
      <c r="AA237" s="12">
        <v>0.4127000520415488</v>
      </c>
      <c r="AB237" s="12">
        <v>0.41439912614654062</v>
      </c>
      <c r="AC237" s="12">
        <v>0.41610519529018092</v>
      </c>
      <c r="AD237" s="12">
        <v>0.41781828827084017</v>
      </c>
      <c r="AE237" s="12">
        <v>0.4195384340054511</v>
      </c>
      <c r="AF237" s="12">
        <v>0.4212656615299965</v>
      </c>
      <c r="AG237" s="12">
        <v>0.42299999999999938</v>
      </c>
    </row>
    <row r="238" spans="1:33" x14ac:dyDescent="0.25">
      <c r="A238" s="114"/>
      <c r="B238" s="62" t="s">
        <v>29</v>
      </c>
      <c r="C238" s="47"/>
      <c r="D238" s="97">
        <f>D220*T238</f>
        <v>80.113417999999939</v>
      </c>
      <c r="E238" s="97">
        <f t="shared" ref="E238" si="1601">E220*U238</f>
        <v>86.289042194311008</v>
      </c>
      <c r="F238" s="97">
        <f t="shared" ref="F238" si="1602">F220*V238</f>
        <v>93.052060115864478</v>
      </c>
      <c r="G238" s="97">
        <f t="shared" ref="G238" si="1603">G220*W238</f>
        <v>100.46726598791483</v>
      </c>
      <c r="H238" s="97">
        <f t="shared" ref="H238" si="1604">H220*X238</f>
        <v>108.60750441871733</v>
      </c>
      <c r="I238" s="97">
        <f t="shared" ref="I238" si="1605">I220*Y238</f>
        <v>117.55477641947287</v>
      </c>
      <c r="J238" s="97">
        <f t="shared" ref="J238" si="1606">J220*Z238</f>
        <v>127.40151129713684</v>
      </c>
      <c r="K238" s="97">
        <f t="shared" ref="K238" si="1607">K220*AA238</f>
        <v>138.25203131946682</v>
      </c>
      <c r="L238" s="97">
        <f t="shared" ref="L238" si="1608">L220*AB238</f>
        <v>150.22424073043035</v>
      </c>
      <c r="M238" s="97">
        <f t="shared" ref="M238" si="1609">M220*AC238</f>
        <v>163.45157624379436</v>
      </c>
      <c r="N238" s="97">
        <f t="shared" ref="N238" si="1610">N220*AD238</f>
        <v>178.08526273263109</v>
      </c>
      <c r="O238" s="97">
        <f t="shared" ref="O238" si="1611">O220*AE238</f>
        <v>194.29692566952085</v>
      </c>
      <c r="P238" s="97">
        <f t="shared" ref="P238" si="1612">P220*AF238</f>
        <v>212.28162120685514</v>
      </c>
      <c r="Q238" s="97">
        <f t="shared" ref="Q238" si="1613">Q220*AG238</f>
        <v>232.26135592242397</v>
      </c>
      <c r="R238" s="83">
        <f>RATE(12,,-E238,Q238)</f>
        <v>8.6013212808645712E-2</v>
      </c>
      <c r="S238" s="62" t="s">
        <v>29</v>
      </c>
      <c r="T238" s="12">
        <v>0.43099999999999999</v>
      </c>
      <c r="U238" s="12">
        <v>0.43183634674261745</v>
      </c>
      <c r="V238" s="12">
        <v>0.43267431639909548</v>
      </c>
      <c r="W238" s="12">
        <v>0.43351391211866536</v>
      </c>
      <c r="X238" s="12">
        <v>0.43435513705666956</v>
      </c>
      <c r="Y238" s="12">
        <v>0.43519799437457324</v>
      </c>
      <c r="Z238" s="12">
        <v>0.43604248723997657</v>
      </c>
      <c r="AA238" s="12">
        <v>0.43688861882662616</v>
      </c>
      <c r="AB238" s="12">
        <v>0.43773639231442729</v>
      </c>
      <c r="AC238" s="12">
        <v>0.43858581088945586</v>
      </c>
      <c r="AD238" s="12">
        <v>0.43943687774397006</v>
      </c>
      <c r="AE238" s="12">
        <v>0.44028959607642287</v>
      </c>
      <c r="AF238" s="12">
        <v>0.44114396909147369</v>
      </c>
      <c r="AG238" s="12">
        <v>0.44200000000000028</v>
      </c>
    </row>
    <row r="239" spans="1:33" ht="15.75" thickBot="1" x14ac:dyDescent="0.3">
      <c r="A239" s="115"/>
      <c r="B239" s="63" t="s">
        <v>30</v>
      </c>
      <c r="C239" s="51"/>
      <c r="D239" s="92">
        <f>D220*T239</f>
        <v>31.227503999999985</v>
      </c>
      <c r="E239" s="92">
        <f t="shared" ref="E239" si="1614">E220*U239</f>
        <v>33.072566950949764</v>
      </c>
      <c r="F239" s="92">
        <f t="shared" ref="F239" si="1615">F220*V239</f>
        <v>35.05887500229651</v>
      </c>
      <c r="G239" s="92">
        <f t="shared" ref="G239" si="1616">G220*W239</f>
        <v>37.19903136879136</v>
      </c>
      <c r="H239" s="92">
        <f t="shared" ref="H239" si="1617">H220*X239</f>
        <v>39.506896914391682</v>
      </c>
      <c r="I239" s="92">
        <f t="shared" ref="I239" si="1618">I220*Y239</f>
        <v>41.997726339329922</v>
      </c>
      <c r="J239" s="92">
        <f t="shared" ref="J239" si="1619">J220*Z239</f>
        <v>44.68831993423634</v>
      </c>
      <c r="K239" s="92">
        <f t="shared" ref="K239" si="1620">K220*AA239</f>
        <v>47.597192716498313</v>
      </c>
      <c r="L239" s="92">
        <f t="shared" ref="L239" si="1621">L220*AB239</f>
        <v>50.744762967398636</v>
      </c>
      <c r="M239" s="92">
        <f t="shared" ref="M239" si="1622">M220*AC239</f>
        <v>54.153562410445836</v>
      </c>
      <c r="N239" s="92">
        <f t="shared" ref="N239" si="1623">N220*AD239</f>
        <v>57.848470511820061</v>
      </c>
      <c r="O239" s="92">
        <f t="shared" ref="O239" si="1624">O220*AE239</f>
        <v>61.856975642470481</v>
      </c>
      <c r="P239" s="92">
        <f t="shared" ref="P239" si="1625">P220*AF239</f>
        <v>66.209466116645316</v>
      </c>
      <c r="Q239" s="92">
        <f t="shared" ref="Q239" si="1626">Q220*AG239</f>
        <v>70.939554410695237</v>
      </c>
      <c r="R239" s="79">
        <f>RATE(12,,-E239,Q239)</f>
        <v>6.565929986947891E-2</v>
      </c>
      <c r="S239" s="63" t="s">
        <v>30</v>
      </c>
      <c r="T239" s="12">
        <f>1-SUM(T237:T238)</f>
        <v>0.16800000000000004</v>
      </c>
      <c r="U239" s="12">
        <f t="shared" ref="U239" si="1627">1-SUM(U237:U238)</f>
        <v>0.16551274792618309</v>
      </c>
      <c r="V239" s="12">
        <f t="shared" ref="V239" si="1628">1-SUM(V237:V238)</f>
        <v>0.16301707620929717</v>
      </c>
      <c r="W239" s="12">
        <f t="shared" ref="W239" si="1629">1-SUM(W237:W238)</f>
        <v>0.16051295371817442</v>
      </c>
      <c r="X239" s="12">
        <f t="shared" ref="X239" si="1630">1-SUM(X237:X238)</f>
        <v>0.15800034920033545</v>
      </c>
      <c r="Y239" s="12">
        <f t="shared" ref="Y239" si="1631">1-SUM(Y237:Y238)</f>
        <v>0.15547923128150276</v>
      </c>
      <c r="Z239" s="12">
        <f t="shared" ref="Z239" si="1632">1-SUM(Z237:Z238)</f>
        <v>0.15294956846511254</v>
      </c>
      <c r="AA239" s="12">
        <f t="shared" ref="AA239" si="1633">1-SUM(AA237:AA238)</f>
        <v>0.15041132913182498</v>
      </c>
      <c r="AB239" s="12">
        <f t="shared" ref="AB239" si="1634">1-SUM(AB237:AB238)</f>
        <v>0.14786448153903209</v>
      </c>
      <c r="AC239" s="12">
        <f t="shared" ref="AC239" si="1635">1-SUM(AC237:AC238)</f>
        <v>0.14530899382036322</v>
      </c>
      <c r="AD239" s="12">
        <f t="shared" ref="AD239" si="1636">1-SUM(AD237:AD238)</f>
        <v>0.14274483398518978</v>
      </c>
      <c r="AE239" s="12">
        <f t="shared" ref="AE239" si="1637">1-SUM(AE237:AE238)</f>
        <v>0.14017196991812608</v>
      </c>
      <c r="AF239" s="12">
        <f t="shared" ref="AF239" si="1638">1-SUM(AF237:AF238)</f>
        <v>0.13759036937852986</v>
      </c>
      <c r="AG239" s="12">
        <f t="shared" ref="AG239" si="1639">1-SUM(AG237:AG238)</f>
        <v>0.13500000000000034</v>
      </c>
    </row>
  </sheetData>
  <mergeCells count="54">
    <mergeCell ref="A30:A32"/>
    <mergeCell ref="A2:R2"/>
    <mergeCell ref="A14:A15"/>
    <mergeCell ref="A17:A18"/>
    <mergeCell ref="A20:A21"/>
    <mergeCell ref="A23:A28"/>
    <mergeCell ref="A81:A83"/>
    <mergeCell ref="A35:R35"/>
    <mergeCell ref="A39:A40"/>
    <mergeCell ref="A42:A43"/>
    <mergeCell ref="A45:A46"/>
    <mergeCell ref="A48:A53"/>
    <mergeCell ref="A55:A57"/>
    <mergeCell ref="A61:R61"/>
    <mergeCell ref="A65:A66"/>
    <mergeCell ref="A68:A69"/>
    <mergeCell ref="A71:A72"/>
    <mergeCell ref="A74:A79"/>
    <mergeCell ref="A133:A135"/>
    <mergeCell ref="A87:R87"/>
    <mergeCell ref="A91:A92"/>
    <mergeCell ref="A94:A95"/>
    <mergeCell ref="A97:A98"/>
    <mergeCell ref="A100:A105"/>
    <mergeCell ref="A107:A109"/>
    <mergeCell ref="A113:R113"/>
    <mergeCell ref="A117:A118"/>
    <mergeCell ref="A120:A121"/>
    <mergeCell ref="A123:A124"/>
    <mergeCell ref="A126:A131"/>
    <mergeCell ref="A185:A187"/>
    <mergeCell ref="A139:R139"/>
    <mergeCell ref="A143:A144"/>
    <mergeCell ref="A146:A147"/>
    <mergeCell ref="A149:A150"/>
    <mergeCell ref="A152:A157"/>
    <mergeCell ref="A159:A161"/>
    <mergeCell ref="A165:R165"/>
    <mergeCell ref="A169:A170"/>
    <mergeCell ref="A172:A173"/>
    <mergeCell ref="A175:A176"/>
    <mergeCell ref="A178:A183"/>
    <mergeCell ref="A237:A239"/>
    <mergeCell ref="A191:R191"/>
    <mergeCell ref="A195:A196"/>
    <mergeCell ref="A198:A199"/>
    <mergeCell ref="A201:A202"/>
    <mergeCell ref="A204:A209"/>
    <mergeCell ref="A211:A213"/>
    <mergeCell ref="A217:R217"/>
    <mergeCell ref="A221:A222"/>
    <mergeCell ref="A224:A225"/>
    <mergeCell ref="A227:A228"/>
    <mergeCell ref="A230:A2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650D-27FB-4C6D-A9D7-50F1D338130C}">
  <dimension ref="A2:AG159"/>
  <sheetViews>
    <sheetView showGridLines="0" topLeftCell="A134" zoomScaleNormal="100" workbookViewId="0">
      <selection activeCell="D126" sqref="D126"/>
    </sheetView>
  </sheetViews>
  <sheetFormatPr defaultRowHeight="15" x14ac:dyDescent="0.25"/>
  <cols>
    <col min="1" max="1" width="15.28515625" customWidth="1"/>
    <col min="2" max="2" width="26.140625" customWidth="1"/>
    <col min="17" max="17" width="11.7109375" customWidth="1"/>
    <col min="18" max="18" width="26.42578125" customWidth="1"/>
    <col min="19" max="19" width="24.28515625" customWidth="1"/>
  </cols>
  <sheetData>
    <row r="2" spans="1:33" ht="26.25" x14ac:dyDescent="0.4">
      <c r="A2" s="109" t="s">
        <v>64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70"/>
    </row>
    <row r="3" spans="1:33" ht="26.25" x14ac:dyDescent="0.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70"/>
    </row>
    <row r="4" spans="1:33" ht="26.25" x14ac:dyDescent="0.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70"/>
    </row>
    <row r="5" spans="1:33" ht="26.25" x14ac:dyDescent="0.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70"/>
    </row>
    <row r="6" spans="1:33" ht="26.25" x14ac:dyDescent="0.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70"/>
    </row>
    <row r="7" spans="1:33" ht="26.25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70"/>
    </row>
    <row r="8" spans="1:33" ht="26.25" x14ac:dyDescent="0.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70"/>
    </row>
    <row r="9" spans="1:33" ht="26.25" x14ac:dyDescent="0.4">
      <c r="A9" s="103"/>
      <c r="B9" s="103"/>
      <c r="C9" s="10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70"/>
    </row>
    <row r="10" spans="1:33" ht="26.25" x14ac:dyDescent="0.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70"/>
    </row>
    <row r="11" spans="1:33" ht="27" thickBot="1" x14ac:dyDescent="0.4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70"/>
    </row>
    <row r="12" spans="1:33" ht="15.75" x14ac:dyDescent="0.25">
      <c r="A12" s="49"/>
      <c r="B12" s="50"/>
      <c r="C12" s="100"/>
      <c r="D12" s="98">
        <v>2023</v>
      </c>
      <c r="E12" s="72">
        <v>2024</v>
      </c>
      <c r="F12" s="72">
        <v>2025</v>
      </c>
      <c r="G12" s="72">
        <v>2026</v>
      </c>
      <c r="H12" s="72">
        <v>2027</v>
      </c>
      <c r="I12" s="72">
        <v>2028</v>
      </c>
      <c r="J12" s="72">
        <v>2029</v>
      </c>
      <c r="K12" s="72">
        <v>2030</v>
      </c>
      <c r="L12" s="72">
        <v>2031</v>
      </c>
      <c r="M12" s="72">
        <v>2032</v>
      </c>
      <c r="N12" s="72">
        <v>2033</v>
      </c>
      <c r="O12" s="72">
        <v>2034</v>
      </c>
      <c r="P12" s="72">
        <v>2035</v>
      </c>
      <c r="Q12" s="72">
        <v>2036</v>
      </c>
      <c r="R12" s="73" t="s">
        <v>13</v>
      </c>
    </row>
    <row r="13" spans="1:33" ht="16.5" thickBot="1" x14ac:dyDescent="0.3">
      <c r="A13" s="26"/>
      <c r="B13" s="101"/>
      <c r="C13" s="102"/>
      <c r="D13" s="99">
        <f>D38+D64+D89+D115+D140</f>
        <v>1279.278</v>
      </c>
      <c r="E13" s="99">
        <f t="shared" ref="E13:Q13" si="0">E38+E64+E89+E115+E140</f>
        <v>1438.0236070200001</v>
      </c>
      <c r="F13" s="99">
        <f t="shared" si="0"/>
        <v>1614.2143834835315</v>
      </c>
      <c r="G13" s="99">
        <f t="shared" si="0"/>
        <v>1812.28150829585</v>
      </c>
      <c r="H13" s="99">
        <f t="shared" si="0"/>
        <v>2034.9743317448847</v>
      </c>
      <c r="I13" s="99">
        <f t="shared" si="0"/>
        <v>2285.4046687777068</v>
      </c>
      <c r="J13" s="99">
        <f t="shared" si="0"/>
        <v>2567.1000478577198</v>
      </c>
      <c r="K13" s="99">
        <f t="shared" si="0"/>
        <v>2884.0659664440373</v>
      </c>
      <c r="L13" s="99">
        <f t="shared" si="0"/>
        <v>3240.8588548404196</v>
      </c>
      <c r="M13" s="99">
        <f t="shared" si="0"/>
        <v>3642.6717922941634</v>
      </c>
      <c r="N13" s="99">
        <f t="shared" si="0"/>
        <v>4095.435433003408</v>
      </c>
      <c r="O13" s="99">
        <f t="shared" si="0"/>
        <v>4605.9371007516274</v>
      </c>
      <c r="P13" s="99">
        <f t="shared" si="0"/>
        <v>5181.9616184302631</v>
      </c>
      <c r="Q13" s="99">
        <f t="shared" si="0"/>
        <v>5832.45817634173</v>
      </c>
      <c r="R13" s="75">
        <f>RATE(12,,-E13,Q13)</f>
        <v>0.12376060045083039</v>
      </c>
      <c r="T13" s="72">
        <v>2023</v>
      </c>
      <c r="U13" s="72">
        <v>2024</v>
      </c>
      <c r="V13" s="72">
        <v>2025</v>
      </c>
      <c r="W13" s="72">
        <v>2026</v>
      </c>
      <c r="X13" s="72">
        <v>2027</v>
      </c>
      <c r="Y13" s="72">
        <v>2028</v>
      </c>
      <c r="Z13" s="72">
        <v>2029</v>
      </c>
      <c r="AA13" s="72">
        <v>2030</v>
      </c>
      <c r="AB13" s="72">
        <v>2031</v>
      </c>
      <c r="AC13" s="72">
        <v>2032</v>
      </c>
      <c r="AD13" s="72">
        <v>2033</v>
      </c>
      <c r="AE13" s="72">
        <v>2034</v>
      </c>
      <c r="AF13" s="72">
        <v>2035</v>
      </c>
      <c r="AG13" s="72">
        <v>2036</v>
      </c>
    </row>
    <row r="14" spans="1:33" x14ac:dyDescent="0.25">
      <c r="A14" s="110" t="s">
        <v>51</v>
      </c>
      <c r="B14" s="59" t="s">
        <v>34</v>
      </c>
      <c r="C14" s="52"/>
      <c r="D14" s="86">
        <f>D39+D65+D90+D116+D141</f>
        <v>716.39568000000008</v>
      </c>
      <c r="E14" s="86">
        <f t="shared" ref="E14:Q14" si="1">E39+E65+E90+E116+E141</f>
        <v>806.61852215533543</v>
      </c>
      <c r="F14" s="86">
        <f t="shared" si="1"/>
        <v>906.93786719370451</v>
      </c>
      <c r="G14" s="86">
        <f t="shared" si="1"/>
        <v>1019.8965656975045</v>
      </c>
      <c r="H14" s="86">
        <f t="shared" si="1"/>
        <v>1147.1060059146002</v>
      </c>
      <c r="I14" s="86">
        <f t="shared" si="1"/>
        <v>1290.3926361506085</v>
      </c>
      <c r="J14" s="86">
        <f t="shared" si="1"/>
        <v>1451.8298063715911</v>
      </c>
      <c r="K14" s="86">
        <f t="shared" si="1"/>
        <v>1633.7750177300195</v>
      </c>
      <c r="L14" s="86">
        <f t="shared" si="1"/>
        <v>1838.9136061341671</v>
      </c>
      <c r="M14" s="86">
        <f t="shared" si="1"/>
        <v>2070.3100935396269</v>
      </c>
      <c r="N14" s="86">
        <f t="shared" si="1"/>
        <v>2331.4686919629921</v>
      </c>
      <c r="O14" s="86">
        <f t="shared" si="1"/>
        <v>2626.4047499137009</v>
      </c>
      <c r="P14" s="86">
        <f t="shared" si="1"/>
        <v>2959.729300825421</v>
      </c>
      <c r="Q14" s="86">
        <f t="shared" si="1"/>
        <v>3336.7493226850984</v>
      </c>
      <c r="R14" s="84">
        <f>RATE(12,,-E14,Q14)</f>
        <v>0.12561001677003855</v>
      </c>
      <c r="S14" s="59" t="s">
        <v>34</v>
      </c>
      <c r="T14" s="12">
        <v>0.56000000000000005</v>
      </c>
      <c r="U14" s="12">
        <v>0.56092161367703952</v>
      </c>
      <c r="V14" s="12">
        <v>0.56184474408938223</v>
      </c>
      <c r="W14" s="12">
        <v>0.56276939373317769</v>
      </c>
      <c r="X14" s="12">
        <v>0.56369556510868446</v>
      </c>
      <c r="Y14" s="12">
        <v>0.56462326072027491</v>
      </c>
      <c r="Z14" s="12">
        <v>0.56555248307644368</v>
      </c>
      <c r="AA14" s="12">
        <v>0.56648323468981299</v>
      </c>
      <c r="AB14" s="12">
        <v>0.56741551807714108</v>
      </c>
      <c r="AC14" s="12">
        <v>0.56834933575932756</v>
      </c>
      <c r="AD14" s="12">
        <v>0.56928469026142059</v>
      </c>
      <c r="AE14" s="12">
        <v>0.57022158411262425</v>
      </c>
      <c r="AF14" s="12">
        <v>0.57116001984630527</v>
      </c>
      <c r="AG14" s="12">
        <v>0.57209999999999905</v>
      </c>
    </row>
    <row r="15" spans="1:33" ht="15.75" thickBot="1" x14ac:dyDescent="0.3">
      <c r="A15" s="111"/>
      <c r="B15" s="60" t="s">
        <v>35</v>
      </c>
      <c r="C15" s="53"/>
      <c r="D15" s="87">
        <f>D40+D66+D91+D117+D142</f>
        <v>562.88231999999994</v>
      </c>
      <c r="E15" s="87">
        <f t="shared" ref="E15:Q15" si="2">E40+E66+E91+E117+E142</f>
        <v>631.40508486466479</v>
      </c>
      <c r="F15" s="87">
        <f t="shared" si="2"/>
        <v>707.27651628982676</v>
      </c>
      <c r="G15" s="87">
        <f t="shared" si="2"/>
        <v>792.38494259834556</v>
      </c>
      <c r="H15" s="87">
        <f t="shared" si="2"/>
        <v>887.86832583028445</v>
      </c>
      <c r="I15" s="87">
        <f t="shared" si="2"/>
        <v>995.01203262709828</v>
      </c>
      <c r="J15" s="87">
        <f t="shared" si="2"/>
        <v>1115.2702414861292</v>
      </c>
      <c r="K15" s="87">
        <f t="shared" si="2"/>
        <v>1250.2909487140173</v>
      </c>
      <c r="L15" s="87">
        <f t="shared" si="2"/>
        <v>1401.9452487062529</v>
      </c>
      <c r="M15" s="87">
        <f t="shared" si="2"/>
        <v>1572.3616987545365</v>
      </c>
      <c r="N15" s="87">
        <f t="shared" si="2"/>
        <v>1763.9667410404163</v>
      </c>
      <c r="O15" s="87">
        <f t="shared" si="2"/>
        <v>1979.5323508379265</v>
      </c>
      <c r="P15" s="87">
        <f t="shared" si="2"/>
        <v>2222.2323176048412</v>
      </c>
      <c r="Q15" s="87">
        <f t="shared" si="2"/>
        <v>2495.7088536566321</v>
      </c>
      <c r="R15" s="85">
        <f>RATE(12,,-E15,Q15)</f>
        <v>0.12134819173340376</v>
      </c>
      <c r="S15" s="60" t="s">
        <v>35</v>
      </c>
      <c r="T15" s="12">
        <f>1-T14</f>
        <v>0.43999999999999995</v>
      </c>
      <c r="U15" s="12">
        <f t="shared" ref="U15:AG15" si="3">1-U14</f>
        <v>0.43907838632296048</v>
      </c>
      <c r="V15" s="12">
        <f t="shared" si="3"/>
        <v>0.43815525591061777</v>
      </c>
      <c r="W15" s="12">
        <f t="shared" si="3"/>
        <v>0.43723060626682231</v>
      </c>
      <c r="X15" s="12">
        <f t="shared" si="3"/>
        <v>0.43630443489131554</v>
      </c>
      <c r="Y15" s="12">
        <f t="shared" si="3"/>
        <v>0.43537673927972509</v>
      </c>
      <c r="Z15" s="12">
        <f t="shared" si="3"/>
        <v>0.43444751692355632</v>
      </c>
      <c r="AA15" s="12">
        <f t="shared" si="3"/>
        <v>0.43351676531018701</v>
      </c>
      <c r="AB15" s="12">
        <f t="shared" si="3"/>
        <v>0.43258448192285892</v>
      </c>
      <c r="AC15" s="12">
        <f t="shared" si="3"/>
        <v>0.43165066424067244</v>
      </c>
      <c r="AD15" s="12">
        <f t="shared" si="3"/>
        <v>0.43071530973857941</v>
      </c>
      <c r="AE15" s="12">
        <f t="shared" si="3"/>
        <v>0.42977841588737575</v>
      </c>
      <c r="AF15" s="12">
        <f t="shared" si="3"/>
        <v>0.42883998015369473</v>
      </c>
      <c r="AG15" s="12">
        <f t="shared" si="3"/>
        <v>0.42790000000000095</v>
      </c>
    </row>
    <row r="16" spans="1:33" ht="15.75" thickBot="1" x14ac:dyDescent="0.3">
      <c r="A16" s="1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21"/>
    </row>
    <row r="17" spans="1:33" x14ac:dyDescent="0.25">
      <c r="A17" s="110" t="s">
        <v>15</v>
      </c>
      <c r="B17" s="64" t="s">
        <v>16</v>
      </c>
      <c r="C17" s="54"/>
      <c r="D17" s="89">
        <f>D42+D68+D93+D119+D144</f>
        <v>602.53993799999989</v>
      </c>
      <c r="E17" s="89">
        <f t="shared" ref="E17:Q17" si="4">E42+E68+E93+E119+E144</f>
        <v>676.4241813020999</v>
      </c>
      <c r="F17" s="89">
        <f t="shared" si="4"/>
        <v>758.3082492256865</v>
      </c>
      <c r="G17" s="89">
        <f t="shared" si="4"/>
        <v>850.23883993049139</v>
      </c>
      <c r="H17" s="89">
        <f t="shared" si="4"/>
        <v>953.46374266600719</v>
      </c>
      <c r="I17" s="89">
        <f t="shared" si="4"/>
        <v>1069.39358462883</v>
      </c>
      <c r="J17" s="89">
        <f t="shared" si="4"/>
        <v>1199.6255992873575</v>
      </c>
      <c r="K17" s="89">
        <f t="shared" si="4"/>
        <v>1345.9714014166132</v>
      </c>
      <c r="L17" s="89">
        <f t="shared" si="4"/>
        <v>1510.4895231906232</v>
      </c>
      <c r="M17" s="89">
        <f t="shared" si="4"/>
        <v>1695.523616551691</v>
      </c>
      <c r="N17" s="89">
        <f t="shared" si="4"/>
        <v>1903.7474093568919</v>
      </c>
      <c r="O17" s="89">
        <f t="shared" si="4"/>
        <v>2138.2177233104671</v>
      </c>
      <c r="P17" s="89">
        <f t="shared" si="4"/>
        <v>2402.437128790707</v>
      </c>
      <c r="Q17" s="89">
        <f t="shared" si="4"/>
        <v>2700.4281356462216</v>
      </c>
      <c r="R17" s="76">
        <f>RATE(12,,-E17,Q17)</f>
        <v>0.12227974540885025</v>
      </c>
      <c r="S17" s="64" t="s">
        <v>16</v>
      </c>
      <c r="T17" s="12">
        <v>0.47099999999999992</v>
      </c>
      <c r="U17" s="12">
        <v>0.47038461538461535</v>
      </c>
      <c r="V17" s="12">
        <v>0.46976923076923072</v>
      </c>
      <c r="W17" s="12">
        <v>0.46915384615384609</v>
      </c>
      <c r="X17" s="12">
        <v>0.46853846153846151</v>
      </c>
      <c r="Y17" s="12">
        <v>0.46792307692307689</v>
      </c>
      <c r="Z17" s="12">
        <v>0.46730769230769226</v>
      </c>
      <c r="AA17" s="12">
        <v>0.46669230769230763</v>
      </c>
      <c r="AB17" s="12">
        <v>0.46607692307692306</v>
      </c>
      <c r="AC17" s="12">
        <v>0.46546153846153843</v>
      </c>
      <c r="AD17" s="12">
        <v>0.4648461538461538</v>
      </c>
      <c r="AE17" s="12">
        <v>0.46423076923076922</v>
      </c>
      <c r="AF17" s="12">
        <v>0.4636153846153846</v>
      </c>
      <c r="AG17" s="12">
        <v>0.46299999999999997</v>
      </c>
    </row>
    <row r="18" spans="1:33" ht="15.75" thickBot="1" x14ac:dyDescent="0.3">
      <c r="A18" s="111"/>
      <c r="B18" s="65" t="s">
        <v>17</v>
      </c>
      <c r="C18" s="55"/>
      <c r="D18" s="90">
        <f>D43+D69+D94+D120+D145</f>
        <v>676.73806200000024</v>
      </c>
      <c r="E18" s="90">
        <f t="shared" ref="E18:Q18" si="5">E43+E69+E94+E120+E145</f>
        <v>761.59942571790009</v>
      </c>
      <c r="F18" s="90">
        <f t="shared" si="5"/>
        <v>855.90613425784477</v>
      </c>
      <c r="G18" s="90">
        <f t="shared" si="5"/>
        <v>962.04266836535874</v>
      </c>
      <c r="H18" s="90">
        <f t="shared" si="5"/>
        <v>1081.5105890788775</v>
      </c>
      <c r="I18" s="90">
        <f t="shared" si="5"/>
        <v>1216.011084148877</v>
      </c>
      <c r="J18" s="90">
        <f t="shared" si="5"/>
        <v>1367.4744485703627</v>
      </c>
      <c r="K18" s="90">
        <f t="shared" si="5"/>
        <v>1538.0945650274239</v>
      </c>
      <c r="L18" s="90">
        <f t="shared" si="5"/>
        <v>1730.3693316497965</v>
      </c>
      <c r="M18" s="90">
        <f t="shared" si="5"/>
        <v>1947.1481757424726</v>
      </c>
      <c r="N18" s="90">
        <f t="shared" si="5"/>
        <v>2191.6880236465163</v>
      </c>
      <c r="O18" s="90">
        <f t="shared" si="5"/>
        <v>2467.7193774411608</v>
      </c>
      <c r="P18" s="90">
        <f t="shared" si="5"/>
        <v>2779.5244896395557</v>
      </c>
      <c r="Q18" s="90">
        <f t="shared" si="5"/>
        <v>3132.0300406955093</v>
      </c>
      <c r="R18" s="77">
        <f>RATE(12,,-E18,Q18)</f>
        <v>0.12505807880735986</v>
      </c>
      <c r="S18" s="65" t="s">
        <v>17</v>
      </c>
      <c r="T18" s="12">
        <f>1-T17</f>
        <v>0.52900000000000014</v>
      </c>
      <c r="U18" s="12">
        <f t="shared" ref="U18:AG18" si="6">1-U17</f>
        <v>0.5296153846153846</v>
      </c>
      <c r="V18" s="12">
        <f t="shared" si="6"/>
        <v>0.53023076923076928</v>
      </c>
      <c r="W18" s="12">
        <f t="shared" si="6"/>
        <v>0.53084615384615397</v>
      </c>
      <c r="X18" s="12">
        <f t="shared" si="6"/>
        <v>0.53146153846153843</v>
      </c>
      <c r="Y18" s="12">
        <f t="shared" si="6"/>
        <v>0.53207692307692311</v>
      </c>
      <c r="Z18" s="12">
        <f t="shared" si="6"/>
        <v>0.5326923076923078</v>
      </c>
      <c r="AA18" s="12">
        <f t="shared" si="6"/>
        <v>0.53330769230769237</v>
      </c>
      <c r="AB18" s="12">
        <f t="shared" si="6"/>
        <v>0.53392307692307694</v>
      </c>
      <c r="AC18" s="12">
        <f t="shared" si="6"/>
        <v>0.53453846153846163</v>
      </c>
      <c r="AD18" s="12">
        <f t="shared" si="6"/>
        <v>0.5351538461538462</v>
      </c>
      <c r="AE18" s="12">
        <f t="shared" si="6"/>
        <v>0.53576923076923078</v>
      </c>
      <c r="AF18" s="12">
        <f t="shared" si="6"/>
        <v>0.53638461538461546</v>
      </c>
      <c r="AG18" s="12">
        <f t="shared" si="6"/>
        <v>0.53700000000000003</v>
      </c>
    </row>
    <row r="19" spans="1:33" ht="15.75" thickBot="1" x14ac:dyDescent="0.3">
      <c r="A19" s="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21"/>
    </row>
    <row r="20" spans="1:33" x14ac:dyDescent="0.25">
      <c r="A20" s="110" t="s">
        <v>18</v>
      </c>
      <c r="B20" s="61" t="s">
        <v>19</v>
      </c>
      <c r="C20" s="56"/>
      <c r="D20" s="91">
        <f>D45+D71+D96+D122+D147</f>
        <v>512.99047799999994</v>
      </c>
      <c r="E20" s="91">
        <f t="shared" ref="E20:Q20" si="7">E45+E71+E96+E122+E147</f>
        <v>579.02150725423996</v>
      </c>
      <c r="F20" s="91">
        <f t="shared" si="7"/>
        <v>652.64076941772851</v>
      </c>
      <c r="G20" s="91">
        <f t="shared" si="7"/>
        <v>735.73760390880534</v>
      </c>
      <c r="H20" s="91">
        <f t="shared" si="7"/>
        <v>829.5461219436196</v>
      </c>
      <c r="I20" s="91">
        <f t="shared" si="7"/>
        <v>935.46817952264746</v>
      </c>
      <c r="J20" s="91">
        <f t="shared" si="7"/>
        <v>1055.0985134693688</v>
      </c>
      <c r="K20" s="91">
        <f t="shared" si="7"/>
        <v>1190.2541744427137</v>
      </c>
      <c r="L20" s="91">
        <f t="shared" si="7"/>
        <v>1343.0090774101484</v>
      </c>
      <c r="M20" s="91">
        <f t="shared" si="7"/>
        <v>1515.734657510596</v>
      </c>
      <c r="N20" s="91">
        <f t="shared" si="7"/>
        <v>1711.1478223412309</v>
      </c>
      <c r="O20" s="91">
        <f t="shared" si="7"/>
        <v>1932.3676383769457</v>
      </c>
      <c r="P20" s="91">
        <f t="shared" si="7"/>
        <v>2182.982489211076</v>
      </c>
      <c r="Q20" s="91">
        <f t="shared" si="7"/>
        <v>2467.1298085925482</v>
      </c>
      <c r="R20" s="78">
        <f>RATE(12,,-E20,Q20)</f>
        <v>0.12838709013895375</v>
      </c>
      <c r="S20" s="61" t="s">
        <v>19</v>
      </c>
      <c r="T20" s="12">
        <v>0.40099999999999997</v>
      </c>
      <c r="U20" s="12">
        <v>0.40265090533119946</v>
      </c>
      <c r="V20" s="12">
        <v>0.40430860739160734</v>
      </c>
      <c r="W20" s="12">
        <v>0.40597313416316017</v>
      </c>
      <c r="X20" s="12">
        <v>0.40764451374299493</v>
      </c>
      <c r="Y20" s="12">
        <v>0.40932277434392395</v>
      </c>
      <c r="Z20" s="12">
        <v>0.41100794429491083</v>
      </c>
      <c r="AA20" s="12">
        <v>0.4127000520415488</v>
      </c>
      <c r="AB20" s="12">
        <v>0.41439912614654062</v>
      </c>
      <c r="AC20" s="12">
        <v>0.41610519529018092</v>
      </c>
      <c r="AD20" s="12">
        <v>0.41781828827084017</v>
      </c>
      <c r="AE20" s="12">
        <v>0.4195384340054511</v>
      </c>
      <c r="AF20" s="12">
        <v>0.4212656615299965</v>
      </c>
      <c r="AG20" s="12">
        <v>0.42299999999999938</v>
      </c>
    </row>
    <row r="21" spans="1:33" ht="15.75" thickBot="1" x14ac:dyDescent="0.3">
      <c r="A21" s="111"/>
      <c r="B21" s="63" t="s">
        <v>20</v>
      </c>
      <c r="C21" s="51"/>
      <c r="D21" s="92">
        <f>D46+D72+D97+D123+D148</f>
        <v>766.28752200000008</v>
      </c>
      <c r="E21" s="92">
        <f t="shared" ref="E21:Q21" si="8">E46+E72+E97+E123+E148</f>
        <v>859.00209976575991</v>
      </c>
      <c r="F21" s="92">
        <f t="shared" si="8"/>
        <v>961.57361406580276</v>
      </c>
      <c r="G21" s="92">
        <f t="shared" si="8"/>
        <v>1076.5439043870447</v>
      </c>
      <c r="H21" s="92">
        <f t="shared" si="8"/>
        <v>1205.4282098012652</v>
      </c>
      <c r="I21" s="92">
        <f t="shared" si="8"/>
        <v>1349.9364892550593</v>
      </c>
      <c r="J21" s="92">
        <f t="shared" si="8"/>
        <v>1512.0015343883515</v>
      </c>
      <c r="K21" s="92">
        <f t="shared" si="8"/>
        <v>1693.8117920013231</v>
      </c>
      <c r="L21" s="92">
        <f t="shared" si="8"/>
        <v>1897.8497774302714</v>
      </c>
      <c r="M21" s="92">
        <f t="shared" si="8"/>
        <v>2126.9371347835672</v>
      </c>
      <c r="N21" s="92">
        <f t="shared" si="8"/>
        <v>2384.2876106621775</v>
      </c>
      <c r="O21" s="92">
        <f t="shared" si="8"/>
        <v>2673.5694623746822</v>
      </c>
      <c r="P21" s="92">
        <f t="shared" si="8"/>
        <v>2998.9791292191858</v>
      </c>
      <c r="Q21" s="92">
        <f t="shared" si="8"/>
        <v>3365.3283677491822</v>
      </c>
      <c r="R21" s="79">
        <f>RATE(12,,-E21,Q21)</f>
        <v>0.12051954197828357</v>
      </c>
      <c r="S21" s="63" t="s">
        <v>20</v>
      </c>
      <c r="T21" s="12">
        <f>1-T20</f>
        <v>0.59899999999999998</v>
      </c>
      <c r="U21" s="12">
        <f t="shared" ref="U21:AG21" si="9">1-U20</f>
        <v>0.59734909466880048</v>
      </c>
      <c r="V21" s="12">
        <f t="shared" si="9"/>
        <v>0.59569139260839266</v>
      </c>
      <c r="W21" s="12">
        <f t="shared" si="9"/>
        <v>0.59402686583683983</v>
      </c>
      <c r="X21" s="12">
        <f t="shared" si="9"/>
        <v>0.59235548625700507</v>
      </c>
      <c r="Y21" s="12">
        <f t="shared" si="9"/>
        <v>0.59067722565607605</v>
      </c>
      <c r="Z21" s="12">
        <f t="shared" si="9"/>
        <v>0.58899205570508917</v>
      </c>
      <c r="AA21" s="12">
        <f t="shared" si="9"/>
        <v>0.5872999479584512</v>
      </c>
      <c r="AB21" s="12">
        <f t="shared" si="9"/>
        <v>0.58560087385345938</v>
      </c>
      <c r="AC21" s="12">
        <f t="shared" si="9"/>
        <v>0.58389480470981914</v>
      </c>
      <c r="AD21" s="12">
        <f t="shared" si="9"/>
        <v>0.58218171172915989</v>
      </c>
      <c r="AE21" s="12">
        <f t="shared" si="9"/>
        <v>0.5804615659945489</v>
      </c>
      <c r="AF21" s="12">
        <f t="shared" si="9"/>
        <v>0.57873433847000344</v>
      </c>
      <c r="AG21" s="12">
        <f t="shared" si="9"/>
        <v>0.57700000000000062</v>
      </c>
    </row>
    <row r="22" spans="1:33" ht="15.75" thickBot="1" x14ac:dyDescent="0.3">
      <c r="A22" s="2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21"/>
    </row>
    <row r="23" spans="1:33" x14ac:dyDescent="0.25">
      <c r="A23" s="110" t="s">
        <v>14</v>
      </c>
      <c r="B23" s="66" t="s">
        <v>21</v>
      </c>
      <c r="C23" s="57"/>
      <c r="D23" s="93">
        <f t="shared" ref="D23:D28" si="10">D48+D74+D99+D125+D150</f>
        <v>319.81950000000001</v>
      </c>
      <c r="E23" s="93">
        <f t="shared" ref="E23:Q23" si="11">E48+E74+E99+E125+E150</f>
        <v>361.74337358123785</v>
      </c>
      <c r="F23" s="93">
        <f t="shared" si="11"/>
        <v>408.59245408547832</v>
      </c>
      <c r="G23" s="93">
        <f t="shared" si="11"/>
        <v>461.58251410909395</v>
      </c>
      <c r="H23" s="93">
        <f t="shared" si="11"/>
        <v>521.5274656022516</v>
      </c>
      <c r="I23" s="93">
        <f t="shared" si="11"/>
        <v>589.35357157821636</v>
      </c>
      <c r="J23" s="93">
        <f t="shared" si="11"/>
        <v>666.11645864536194</v>
      </c>
      <c r="K23" s="93">
        <f t="shared" si="11"/>
        <v>753.0210549410765</v>
      </c>
      <c r="L23" s="93">
        <f t="shared" si="11"/>
        <v>851.44501507055838</v>
      </c>
      <c r="M23" s="93">
        <f t="shared" si="11"/>
        <v>962.96630910643069</v>
      </c>
      <c r="N23" s="93">
        <f t="shared" si="11"/>
        <v>1089.3957929557864</v>
      </c>
      <c r="O23" s="93">
        <f t="shared" si="11"/>
        <v>1232.8157479925221</v>
      </c>
      <c r="P23" s="93">
        <f t="shared" si="11"/>
        <v>1395.625585618033</v>
      </c>
      <c r="Q23" s="93">
        <f t="shared" si="11"/>
        <v>1580.5961657886096</v>
      </c>
      <c r="R23" s="80">
        <f t="shared" ref="R23:R28" si="12">RATE(12,,-E23,Q23)</f>
        <v>0.13075459601753106</v>
      </c>
      <c r="S23" s="66" t="s">
        <v>21</v>
      </c>
      <c r="T23" s="12">
        <v>0.25</v>
      </c>
      <c r="U23" s="12">
        <v>0.25155593539307364</v>
      </c>
      <c r="V23" s="12">
        <v>0.25312155452593693</v>
      </c>
      <c r="W23" s="12">
        <v>0.25469691766768382</v>
      </c>
      <c r="X23" s="12">
        <v>0.25628208546250747</v>
      </c>
      <c r="Y23" s="12">
        <v>0.2578771189320348</v>
      </c>
      <c r="Z23" s="12">
        <v>0.25948207947767565</v>
      </c>
      <c r="AA23" s="12">
        <v>0.2610970288829863</v>
      </c>
      <c r="AB23" s="12">
        <v>0.26272202931604799</v>
      </c>
      <c r="AC23" s="12">
        <v>0.26435714333185978</v>
      </c>
      <c r="AD23" s="12">
        <v>0.26600243387474731</v>
      </c>
      <c r="AE23" s="12">
        <v>0.26765796428078514</v>
      </c>
      <c r="AF23" s="12">
        <v>0.26932379828023517</v>
      </c>
      <c r="AG23" s="12">
        <v>0.27100000000000013</v>
      </c>
    </row>
    <row r="24" spans="1:33" x14ac:dyDescent="0.25">
      <c r="A24" s="112"/>
      <c r="B24" s="67" t="s">
        <v>22</v>
      </c>
      <c r="C24" s="48"/>
      <c r="D24" s="94">
        <f t="shared" si="10"/>
        <v>486.12564000000003</v>
      </c>
      <c r="E24" s="94">
        <f t="shared" ref="E24:Q24" si="13">E49+E75+E100+E126+E151</f>
        <v>547.7574130764981</v>
      </c>
      <c r="F24" s="94">
        <f t="shared" si="13"/>
        <v>616.34249563222352</v>
      </c>
      <c r="G24" s="94">
        <f t="shared" si="13"/>
        <v>693.62575485159607</v>
      </c>
      <c r="H24" s="94">
        <f t="shared" si="13"/>
        <v>780.72329604452045</v>
      </c>
      <c r="I24" s="94">
        <f t="shared" si="13"/>
        <v>878.9010123643792</v>
      </c>
      <c r="J24" s="94">
        <f t="shared" si="13"/>
        <v>989.59684230967764</v>
      </c>
      <c r="K24" s="94">
        <f t="shared" si="13"/>
        <v>1114.4468147076755</v>
      </c>
      <c r="L24" s="94">
        <f t="shared" si="13"/>
        <v>1255.3156012088646</v>
      </c>
      <c r="M24" s="94">
        <f t="shared" si="13"/>
        <v>1414.3324423616991</v>
      </c>
      <c r="N24" s="94">
        <f t="shared" si="13"/>
        <v>1593.933490264503</v>
      </c>
      <c r="O24" s="94">
        <f t="shared" si="13"/>
        <v>1796.9118254094346</v>
      </c>
      <c r="P24" s="94">
        <f t="shared" si="13"/>
        <v>2026.4766660084033</v>
      </c>
      <c r="Q24" s="94">
        <f t="shared" si="13"/>
        <v>2286.3236051259587</v>
      </c>
      <c r="R24" s="81">
        <f t="shared" si="12"/>
        <v>0.12645138423010371</v>
      </c>
      <c r="S24" s="67" t="s">
        <v>22</v>
      </c>
      <c r="T24" s="12">
        <v>0.38</v>
      </c>
      <c r="U24" s="12">
        <v>0.38090988938047371</v>
      </c>
      <c r="V24" s="12">
        <v>0.38182195744169661</v>
      </c>
      <c r="W24" s="12">
        <v>0.38273620940040159</v>
      </c>
      <c r="X24" s="12">
        <v>0.38365265048581265</v>
      </c>
      <c r="Y24" s="12">
        <v>0.38457128593967477</v>
      </c>
      <c r="Z24" s="12">
        <v>0.38549212101628438</v>
      </c>
      <c r="AA24" s="12">
        <v>0.38641516098251855</v>
      </c>
      <c r="AB24" s="12">
        <v>0.38734041111786593</v>
      </c>
      <c r="AC24" s="12">
        <v>0.38826787671445667</v>
      </c>
      <c r="AD24" s="12">
        <v>0.38919756307709236</v>
      </c>
      <c r="AE24" s="12">
        <v>0.39012947552327681</v>
      </c>
      <c r="AF24" s="12">
        <v>0.3910636193832463</v>
      </c>
      <c r="AG24" s="12">
        <v>0.39200000000000002</v>
      </c>
    </row>
    <row r="25" spans="1:33" x14ac:dyDescent="0.25">
      <c r="A25" s="112"/>
      <c r="B25" s="68" t="s">
        <v>23</v>
      </c>
      <c r="C25" s="48"/>
      <c r="D25" s="95">
        <f t="shared" si="10"/>
        <v>170.14397399999996</v>
      </c>
      <c r="E25" s="95">
        <f t="shared" ref="E25:Q25" si="14">E50+E76+E101+E127+E152</f>
        <v>191.37870791498932</v>
      </c>
      <c r="F25" s="95">
        <f t="shared" si="14"/>
        <v>214.96352587000905</v>
      </c>
      <c r="G25" s="95">
        <f t="shared" si="14"/>
        <v>241.49335482361789</v>
      </c>
      <c r="H25" s="95">
        <f t="shared" si="14"/>
        <v>271.34037620073127</v>
      </c>
      <c r="I25" s="95">
        <f t="shared" si="14"/>
        <v>304.9260717908918</v>
      </c>
      <c r="J25" s="95">
        <f t="shared" si="14"/>
        <v>342.728488085702</v>
      </c>
      <c r="K25" s="95">
        <f t="shared" si="14"/>
        <v>385.29073124459507</v>
      </c>
      <c r="L25" s="95">
        <f t="shared" si="14"/>
        <v>433.23092558916551</v>
      </c>
      <c r="M25" s="95">
        <f t="shared" si="14"/>
        <v>487.2539154614206</v>
      </c>
      <c r="N25" s="95">
        <f t="shared" si="14"/>
        <v>548.16504707114404</v>
      </c>
      <c r="O25" s="95">
        <f t="shared" si="14"/>
        <v>616.88643575816968</v>
      </c>
      <c r="P25" s="95">
        <f t="shared" si="14"/>
        <v>694.47620755520018</v>
      </c>
      <c r="Q25" s="95">
        <f t="shared" si="14"/>
        <v>782.15130531359</v>
      </c>
      <c r="R25" s="81">
        <f t="shared" si="12"/>
        <v>0.12447489290863839</v>
      </c>
      <c r="S25" s="68" t="s">
        <v>23</v>
      </c>
      <c r="T25" s="74">
        <v>0.34999999999999987</v>
      </c>
      <c r="U25" s="74">
        <v>0.34938588387166564</v>
      </c>
      <c r="V25" s="74">
        <v>0.34877284528224306</v>
      </c>
      <c r="W25" s="74">
        <v>0.34816088234106346</v>
      </c>
      <c r="X25" s="74">
        <v>0.34754999316077562</v>
      </c>
      <c r="Y25" s="74">
        <v>0.34694017585733994</v>
      </c>
      <c r="Z25" s="74">
        <v>0.34633142855002247</v>
      </c>
      <c r="AA25" s="74">
        <v>0.34572374936138933</v>
      </c>
      <c r="AB25" s="74">
        <v>0.34511713641730069</v>
      </c>
      <c r="AC25" s="74">
        <v>0.34451158784690528</v>
      </c>
      <c r="AD25" s="74">
        <v>0.34390710178263434</v>
      </c>
      <c r="AE25" s="74">
        <v>0.34330367636019604</v>
      </c>
      <c r="AF25" s="74">
        <v>0.34270130971856966</v>
      </c>
      <c r="AG25" s="74">
        <v>0.34209999999999979</v>
      </c>
    </row>
    <row r="26" spans="1:33" x14ac:dyDescent="0.25">
      <c r="A26" s="112"/>
      <c r="B26" s="68" t="s">
        <v>24</v>
      </c>
      <c r="C26" s="48"/>
      <c r="D26" s="95">
        <f t="shared" si="10"/>
        <v>136.11517920000006</v>
      </c>
      <c r="E26" s="95">
        <f t="shared" ref="E26:Q26" si="15">E51+E77+E102+E128+E153</f>
        <v>153.90843331422923</v>
      </c>
      <c r="F26" s="95">
        <f t="shared" si="15"/>
        <v>173.78504005833619</v>
      </c>
      <c r="G26" s="95">
        <f t="shared" si="15"/>
        <v>196.25991593679487</v>
      </c>
      <c r="H26" s="95">
        <f t="shared" si="15"/>
        <v>221.6765014864975</v>
      </c>
      <c r="I26" s="95">
        <f t="shared" si="15"/>
        <v>250.42553324611316</v>
      </c>
      <c r="J26" s="95">
        <f t="shared" si="15"/>
        <v>282.95219386000934</v>
      </c>
      <c r="K26" s="95">
        <f t="shared" si="15"/>
        <v>319.76449055126011</v>
      </c>
      <c r="L26" s="95">
        <f t="shared" si="15"/>
        <v>361.44309758451726</v>
      </c>
      <c r="M26" s="95">
        <f t="shared" si="15"/>
        <v>408.65294672396431</v>
      </c>
      <c r="N26" s="95">
        <f t="shared" si="15"/>
        <v>462.15690845499796</v>
      </c>
      <c r="O26" s="95">
        <f t="shared" si="15"/>
        <v>522.8319781977566</v>
      </c>
      <c r="P26" s="95">
        <f t="shared" si="15"/>
        <v>591.68846875207066</v>
      </c>
      <c r="Q26" s="95">
        <f t="shared" si="15"/>
        <v>669.8928163019051</v>
      </c>
      <c r="R26" s="81">
        <f t="shared" si="12"/>
        <v>0.13039069858497795</v>
      </c>
      <c r="S26" s="68" t="s">
        <v>24</v>
      </c>
      <c r="T26" s="74">
        <v>0.28000000000000003</v>
      </c>
      <c r="U26" s="74">
        <v>0.28097918830490543</v>
      </c>
      <c r="V26" s="74">
        <v>0.28196180093029821</v>
      </c>
      <c r="W26" s="74">
        <v>0.28294784985137333</v>
      </c>
      <c r="X26" s="74">
        <v>0.28393734708520407</v>
      </c>
      <c r="Y26" s="74">
        <v>0.28493030469088876</v>
      </c>
      <c r="Z26" s="74">
        <v>0.28592673476969749</v>
      </c>
      <c r="AA26" s="74">
        <v>0.28692664946521995</v>
      </c>
      <c r="AB26" s="74">
        <v>0.28793006096351298</v>
      </c>
      <c r="AC26" s="74">
        <v>0.28893698149324931</v>
      </c>
      <c r="AD26" s="74">
        <v>0.28994742332586665</v>
      </c>
      <c r="AE26" s="74">
        <v>0.29096139877571725</v>
      </c>
      <c r="AF26" s="74">
        <v>0.29197892020021765</v>
      </c>
      <c r="AG26" s="74">
        <v>0.29299999999999965</v>
      </c>
    </row>
    <row r="27" spans="1:33" x14ac:dyDescent="0.25">
      <c r="A27" s="112"/>
      <c r="B27" s="68" t="s">
        <v>25</v>
      </c>
      <c r="C27" s="48"/>
      <c r="D27" s="95">
        <f t="shared" si="10"/>
        <v>179.86648680000008</v>
      </c>
      <c r="E27" s="95">
        <f t="shared" ref="E27:Q27" si="16">E52+E78+E103+E129+E154</f>
        <v>202.47027184727955</v>
      </c>
      <c r="F27" s="95">
        <f t="shared" si="16"/>
        <v>227.59392970387822</v>
      </c>
      <c r="G27" s="95">
        <f t="shared" si="16"/>
        <v>255.87248409118331</v>
      </c>
      <c r="H27" s="95">
        <f t="shared" si="16"/>
        <v>287.70641835729157</v>
      </c>
      <c r="I27" s="95">
        <f t="shared" si="16"/>
        <v>323.54940732737424</v>
      </c>
      <c r="J27" s="95">
        <f t="shared" si="16"/>
        <v>363.9161603639663</v>
      </c>
      <c r="K27" s="95">
        <f t="shared" si="16"/>
        <v>409.39159291182034</v>
      </c>
      <c r="L27" s="95">
        <f t="shared" si="16"/>
        <v>460.64157803518174</v>
      </c>
      <c r="M27" s="95">
        <f t="shared" si="16"/>
        <v>518.42558017631416</v>
      </c>
      <c r="N27" s="95">
        <f t="shared" si="16"/>
        <v>583.61153473836089</v>
      </c>
      <c r="O27" s="95">
        <f t="shared" si="16"/>
        <v>657.19341145350836</v>
      </c>
      <c r="P27" s="95">
        <f t="shared" si="16"/>
        <v>740.31198970113235</v>
      </c>
      <c r="Q27" s="95">
        <f t="shared" si="16"/>
        <v>834.27948351046348</v>
      </c>
      <c r="R27" s="81">
        <f t="shared" si="12"/>
        <v>0.12524180351826567</v>
      </c>
      <c r="S27" s="68" t="s">
        <v>25</v>
      </c>
      <c r="T27" s="74">
        <f>1-SUM(T25:T26)</f>
        <v>0.37000000000000011</v>
      </c>
      <c r="U27" s="74">
        <f t="shared" ref="U27:AG27" si="17">1-SUM(U25:U26)</f>
        <v>0.36963492782342899</v>
      </c>
      <c r="V27" s="74">
        <f t="shared" si="17"/>
        <v>0.36926535378745873</v>
      </c>
      <c r="W27" s="74">
        <f t="shared" si="17"/>
        <v>0.36889126780756321</v>
      </c>
      <c r="X27" s="74">
        <f t="shared" si="17"/>
        <v>0.36851265975402026</v>
      </c>
      <c r="Y27" s="74">
        <f t="shared" si="17"/>
        <v>0.3681295194517713</v>
      </c>
      <c r="Z27" s="74">
        <f t="shared" si="17"/>
        <v>0.36774183668028004</v>
      </c>
      <c r="AA27" s="74">
        <f t="shared" si="17"/>
        <v>0.36734960117339077</v>
      </c>
      <c r="AB27" s="74">
        <f t="shared" si="17"/>
        <v>0.36695280261918639</v>
      </c>
      <c r="AC27" s="74">
        <f t="shared" si="17"/>
        <v>0.36655143065984541</v>
      </c>
      <c r="AD27" s="74">
        <f t="shared" si="17"/>
        <v>0.36614547489149896</v>
      </c>
      <c r="AE27" s="74">
        <f t="shared" si="17"/>
        <v>0.36573492486408665</v>
      </c>
      <c r="AF27" s="74">
        <f t="shared" si="17"/>
        <v>0.36531977008121275</v>
      </c>
      <c r="AG27" s="74">
        <f t="shared" si="17"/>
        <v>0.36490000000000056</v>
      </c>
    </row>
    <row r="28" spans="1:33" ht="15.75" thickBot="1" x14ac:dyDescent="0.3">
      <c r="A28" s="111"/>
      <c r="B28" s="69" t="s">
        <v>26</v>
      </c>
      <c r="C28" s="58"/>
      <c r="D28" s="96">
        <f t="shared" si="10"/>
        <v>473.33285999999998</v>
      </c>
      <c r="E28" s="96">
        <f t="shared" ref="E28:Q28" si="18">E53+E79+E104+E130+E155</f>
        <v>528.52282036226427</v>
      </c>
      <c r="F28" s="96">
        <f t="shared" si="18"/>
        <v>589.27943376582948</v>
      </c>
      <c r="G28" s="96">
        <f t="shared" si="18"/>
        <v>657.07323933516</v>
      </c>
      <c r="H28" s="96">
        <f t="shared" si="18"/>
        <v>732.72357009811287</v>
      </c>
      <c r="I28" s="96">
        <f t="shared" si="18"/>
        <v>817.15008483511122</v>
      </c>
      <c r="J28" s="96">
        <f t="shared" si="18"/>
        <v>911.38674690268044</v>
      </c>
      <c r="K28" s="96">
        <f t="shared" si="18"/>
        <v>1016.598096795285</v>
      </c>
      <c r="L28" s="96">
        <f t="shared" si="18"/>
        <v>1134.0982385609968</v>
      </c>
      <c r="M28" s="96">
        <f t="shared" si="18"/>
        <v>1265.3730408260337</v>
      </c>
      <c r="N28" s="96">
        <f t="shared" si="18"/>
        <v>1412.1061497831192</v>
      </c>
      <c r="O28" s="96">
        <f t="shared" si="18"/>
        <v>1576.2095273496707</v>
      </c>
      <c r="P28" s="96">
        <f t="shared" si="18"/>
        <v>1759.8593668038266</v>
      </c>
      <c r="Q28" s="96">
        <f t="shared" si="18"/>
        <v>1965.5384054271624</v>
      </c>
      <c r="R28" s="82">
        <f t="shared" si="12"/>
        <v>0.11566758689134189</v>
      </c>
      <c r="S28" s="69" t="s">
        <v>26</v>
      </c>
      <c r="T28" s="12">
        <f>1-SUM(T23+T24)</f>
        <v>0.37</v>
      </c>
      <c r="U28" s="12">
        <f t="shared" ref="U28:AG28" si="19">1-SUM(U23+U24)</f>
        <v>0.36753417522645271</v>
      </c>
      <c r="V28" s="12">
        <f t="shared" si="19"/>
        <v>0.36505648803236646</v>
      </c>
      <c r="W28" s="12">
        <f t="shared" si="19"/>
        <v>0.36256687293191459</v>
      </c>
      <c r="X28" s="12">
        <f t="shared" si="19"/>
        <v>0.36006526405167993</v>
      </c>
      <c r="Y28" s="12">
        <f t="shared" si="19"/>
        <v>0.35755159512829038</v>
      </c>
      <c r="Z28" s="12">
        <f t="shared" si="19"/>
        <v>0.35502579950603996</v>
      </c>
      <c r="AA28" s="12">
        <f t="shared" si="19"/>
        <v>0.35248781013449515</v>
      </c>
      <c r="AB28" s="12">
        <f t="shared" si="19"/>
        <v>0.34993755956608608</v>
      </c>
      <c r="AC28" s="12">
        <f t="shared" si="19"/>
        <v>0.3473749799536836</v>
      </c>
      <c r="AD28" s="12">
        <f t="shared" si="19"/>
        <v>0.34480000304816039</v>
      </c>
      <c r="AE28" s="12">
        <f t="shared" si="19"/>
        <v>0.34221256019593804</v>
      </c>
      <c r="AF28" s="12">
        <f t="shared" si="19"/>
        <v>0.33961258233651859</v>
      </c>
      <c r="AG28" s="12">
        <f t="shared" si="19"/>
        <v>0.33699999999999986</v>
      </c>
    </row>
    <row r="29" spans="1:33" ht="15.75" thickBot="1" x14ac:dyDescent="0.3">
      <c r="A29" s="2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21"/>
    </row>
    <row r="30" spans="1:33" x14ac:dyDescent="0.25">
      <c r="A30" s="113" t="s">
        <v>27</v>
      </c>
      <c r="B30" s="61" t="s">
        <v>28</v>
      </c>
      <c r="C30" s="56"/>
      <c r="D30" s="91">
        <f>D55+D81+D106+D132+D157</f>
        <v>512.99047799999994</v>
      </c>
      <c r="E30" s="91">
        <f t="shared" ref="E30:Q30" si="20">E55+E81+E106+E132+E157</f>
        <v>579.02150725423996</v>
      </c>
      <c r="F30" s="91">
        <f t="shared" si="20"/>
        <v>652.64076941772851</v>
      </c>
      <c r="G30" s="91">
        <f t="shared" si="20"/>
        <v>735.73760390880534</v>
      </c>
      <c r="H30" s="91">
        <f t="shared" si="20"/>
        <v>829.5461219436196</v>
      </c>
      <c r="I30" s="91">
        <f t="shared" si="20"/>
        <v>935.46817952264746</v>
      </c>
      <c r="J30" s="91">
        <f t="shared" si="20"/>
        <v>1055.0985134693688</v>
      </c>
      <c r="K30" s="91">
        <f t="shared" si="20"/>
        <v>1190.2541744427137</v>
      </c>
      <c r="L30" s="91">
        <f t="shared" si="20"/>
        <v>1343.0090774101484</v>
      </c>
      <c r="M30" s="91">
        <f t="shared" si="20"/>
        <v>1515.734657510596</v>
      </c>
      <c r="N30" s="91">
        <f t="shared" si="20"/>
        <v>1711.1478223412309</v>
      </c>
      <c r="O30" s="91">
        <f t="shared" si="20"/>
        <v>1932.3676383769457</v>
      </c>
      <c r="P30" s="91">
        <f t="shared" si="20"/>
        <v>2182.982489211076</v>
      </c>
      <c r="Q30" s="91">
        <f t="shared" si="20"/>
        <v>2467.1298085925482</v>
      </c>
      <c r="R30" s="78">
        <f>RATE(12,,-E30,Q30)</f>
        <v>0.12838709013895375</v>
      </c>
      <c r="S30" s="61" t="s">
        <v>28</v>
      </c>
      <c r="T30" s="12">
        <v>0.40099999999999997</v>
      </c>
      <c r="U30" s="12">
        <v>0.40265090533119946</v>
      </c>
      <c r="V30" s="12">
        <v>0.40430860739160734</v>
      </c>
      <c r="W30" s="12">
        <v>0.40597313416316017</v>
      </c>
      <c r="X30" s="12">
        <v>0.40764451374299493</v>
      </c>
      <c r="Y30" s="12">
        <v>0.40932277434392395</v>
      </c>
      <c r="Z30" s="12">
        <v>0.41100794429491083</v>
      </c>
      <c r="AA30" s="12">
        <v>0.4127000520415488</v>
      </c>
      <c r="AB30" s="12">
        <v>0.41439912614654062</v>
      </c>
      <c r="AC30" s="12">
        <v>0.41610519529018092</v>
      </c>
      <c r="AD30" s="12">
        <v>0.41781828827084017</v>
      </c>
      <c r="AE30" s="12">
        <v>0.4195384340054511</v>
      </c>
      <c r="AF30" s="12">
        <v>0.4212656615299965</v>
      </c>
      <c r="AG30" s="12">
        <v>0.42299999999999938</v>
      </c>
    </row>
    <row r="31" spans="1:33" x14ac:dyDescent="0.25">
      <c r="A31" s="114"/>
      <c r="B31" s="62" t="s">
        <v>29</v>
      </c>
      <c r="C31" s="47"/>
      <c r="D31" s="97">
        <f>D56+D82+D107+D133+D158</f>
        <v>551.36881800000003</v>
      </c>
      <c r="E31" s="97">
        <f t="shared" ref="E31:Q31" si="21">E56+E82+E107+E133+E158</f>
        <v>620.99086098515818</v>
      </c>
      <c r="F31" s="97">
        <f t="shared" si="21"/>
        <v>698.42910489532426</v>
      </c>
      <c r="G31" s="97">
        <f t="shared" si="21"/>
        <v>785.64924652164939</v>
      </c>
      <c r="H31" s="97">
        <f t="shared" si="21"/>
        <v>883.90155477185397</v>
      </c>
      <c r="I31" s="97">
        <f t="shared" si="21"/>
        <v>994.60352818634374</v>
      </c>
      <c r="J31" s="97">
        <f t="shared" si="21"/>
        <v>1119.364689861743</v>
      </c>
      <c r="K31" s="97">
        <f t="shared" si="21"/>
        <v>1260.0155966846141</v>
      </c>
      <c r="L31" s="97">
        <f t="shared" si="21"/>
        <v>1418.6418631181116</v>
      </c>
      <c r="M31" s="97">
        <f t="shared" si="21"/>
        <v>1597.6241618274832</v>
      </c>
      <c r="N31" s="97">
        <f t="shared" si="21"/>
        <v>1799.6853596810417</v>
      </c>
      <c r="O31" s="97">
        <f t="shared" si="21"/>
        <v>2027.9461856433441</v>
      </c>
      <c r="P31" s="97">
        <f t="shared" si="21"/>
        <v>2285.9911160340025</v>
      </c>
      <c r="Q31" s="97">
        <f t="shared" si="21"/>
        <v>2577.9465139430467</v>
      </c>
      <c r="R31" s="83">
        <f>RATE(12,,-E31,Q31)</f>
        <v>0.12594123506181329</v>
      </c>
      <c r="S31" s="62" t="s">
        <v>29</v>
      </c>
      <c r="T31" s="12">
        <v>0.43099999999999999</v>
      </c>
      <c r="U31" s="12">
        <v>0.43183634674261745</v>
      </c>
      <c r="V31" s="12">
        <v>0.43267431639909548</v>
      </c>
      <c r="W31" s="12">
        <v>0.43351391211866536</v>
      </c>
      <c r="X31" s="12">
        <v>0.43435513705666956</v>
      </c>
      <c r="Y31" s="12">
        <v>0.43519799437457324</v>
      </c>
      <c r="Z31" s="12">
        <v>0.43604248723997657</v>
      </c>
      <c r="AA31" s="12">
        <v>0.43688861882662616</v>
      </c>
      <c r="AB31" s="12">
        <v>0.43773639231442729</v>
      </c>
      <c r="AC31" s="12">
        <v>0.43858581088945586</v>
      </c>
      <c r="AD31" s="12">
        <v>0.43943687774397006</v>
      </c>
      <c r="AE31" s="12">
        <v>0.44028959607642287</v>
      </c>
      <c r="AF31" s="12">
        <v>0.44114396909147369</v>
      </c>
      <c r="AG31" s="12">
        <v>0.44200000000000028</v>
      </c>
    </row>
    <row r="32" spans="1:33" ht="15.75" thickBot="1" x14ac:dyDescent="0.3">
      <c r="A32" s="115"/>
      <c r="B32" s="63" t="s">
        <v>30</v>
      </c>
      <c r="C32" s="51"/>
      <c r="D32" s="92">
        <f>D57+D83+D108+D134+D159</f>
        <v>214.91870400000005</v>
      </c>
      <c r="E32" s="92">
        <f t="shared" ref="E32:Q32" si="22">E57+E83+E108+E134+E159</f>
        <v>238.01123878060184</v>
      </c>
      <c r="F32" s="92">
        <f t="shared" si="22"/>
        <v>263.1445091704785</v>
      </c>
      <c r="G32" s="92">
        <f t="shared" si="22"/>
        <v>290.89465786539512</v>
      </c>
      <c r="H32" s="92">
        <f t="shared" si="22"/>
        <v>321.52665502941107</v>
      </c>
      <c r="I32" s="92">
        <f t="shared" si="22"/>
        <v>355.33296106871529</v>
      </c>
      <c r="J32" s="92">
        <f t="shared" si="22"/>
        <v>392.636844526608</v>
      </c>
      <c r="K32" s="92">
        <f t="shared" si="22"/>
        <v>433.79619531670903</v>
      </c>
      <c r="L32" s="92">
        <f t="shared" si="22"/>
        <v>479.20791431215991</v>
      </c>
      <c r="M32" s="92">
        <f t="shared" si="22"/>
        <v>529.31297295608397</v>
      </c>
      <c r="N32" s="92">
        <f t="shared" si="22"/>
        <v>584.60225098113528</v>
      </c>
      <c r="O32" s="92">
        <f t="shared" si="22"/>
        <v>645.62327673133802</v>
      </c>
      <c r="P32" s="92">
        <f t="shared" si="22"/>
        <v>712.98801318518429</v>
      </c>
      <c r="Q32" s="92">
        <f t="shared" si="22"/>
        <v>787.38185380613572</v>
      </c>
      <c r="R32" s="79">
        <f>RATE(12,,-E32,Q32)</f>
        <v>0.10483899652411768</v>
      </c>
      <c r="S32" s="63" t="s">
        <v>30</v>
      </c>
      <c r="T32" s="12">
        <f>1-SUM(T30:T31)</f>
        <v>0.16800000000000004</v>
      </c>
      <c r="U32" s="12">
        <f t="shared" ref="U32:AG32" si="23">1-SUM(U30:U31)</f>
        <v>0.16551274792618309</v>
      </c>
      <c r="V32" s="12">
        <f t="shared" si="23"/>
        <v>0.16301707620929717</v>
      </c>
      <c r="W32" s="12">
        <f t="shared" si="23"/>
        <v>0.16051295371817442</v>
      </c>
      <c r="X32" s="12">
        <f t="shared" si="23"/>
        <v>0.15800034920033545</v>
      </c>
      <c r="Y32" s="12">
        <f t="shared" si="23"/>
        <v>0.15547923128150276</v>
      </c>
      <c r="Z32" s="12">
        <f t="shared" si="23"/>
        <v>0.15294956846511254</v>
      </c>
      <c r="AA32" s="12">
        <f t="shared" si="23"/>
        <v>0.15041132913182498</v>
      </c>
      <c r="AB32" s="12">
        <f t="shared" si="23"/>
        <v>0.14786448153903209</v>
      </c>
      <c r="AC32" s="12">
        <f t="shared" si="23"/>
        <v>0.14530899382036322</v>
      </c>
      <c r="AD32" s="12">
        <f t="shared" si="23"/>
        <v>0.14274483398518978</v>
      </c>
      <c r="AE32" s="12">
        <f t="shared" si="23"/>
        <v>0.14017196991812608</v>
      </c>
      <c r="AF32" s="12">
        <f t="shared" si="23"/>
        <v>0.13759036937852986</v>
      </c>
      <c r="AG32" s="12">
        <f t="shared" si="23"/>
        <v>0.13500000000000034</v>
      </c>
    </row>
    <row r="35" spans="1:33" ht="26.25" x14ac:dyDescent="0.4">
      <c r="A35" s="109" t="s">
        <v>65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70"/>
    </row>
    <row r="36" spans="1:33" ht="24" thickBot="1" x14ac:dyDescent="0.4">
      <c r="A36" s="70"/>
      <c r="B36" s="70"/>
      <c r="C36" s="7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spans="1:33" ht="15.75" x14ac:dyDescent="0.25">
      <c r="A37" s="49"/>
      <c r="B37" s="50"/>
      <c r="C37" s="100"/>
      <c r="D37" s="98">
        <v>2023</v>
      </c>
      <c r="E37" s="72">
        <v>2024</v>
      </c>
      <c r="F37" s="72">
        <v>2025</v>
      </c>
      <c r="G37" s="72">
        <v>2026</v>
      </c>
      <c r="H37" s="72">
        <v>2027</v>
      </c>
      <c r="I37" s="72">
        <v>2028</v>
      </c>
      <c r="J37" s="72">
        <v>2029</v>
      </c>
      <c r="K37" s="72">
        <v>2030</v>
      </c>
      <c r="L37" s="72">
        <v>2031</v>
      </c>
      <c r="M37" s="72">
        <v>2032</v>
      </c>
      <c r="N37" s="72">
        <v>2033</v>
      </c>
      <c r="O37" s="72">
        <v>2034</v>
      </c>
      <c r="P37" s="72">
        <v>2035</v>
      </c>
      <c r="Q37" s="72">
        <v>2036</v>
      </c>
      <c r="R37" s="73" t="s">
        <v>13</v>
      </c>
    </row>
    <row r="38" spans="1:33" ht="16.5" thickBot="1" x14ac:dyDescent="0.3">
      <c r="A38" s="26"/>
      <c r="B38" s="101"/>
      <c r="C38" s="102"/>
      <c r="D38" s="99">
        <f>'Market Analysis'!C46</f>
        <v>345.40506000000005</v>
      </c>
      <c r="E38" s="99">
        <f>'Market Analysis'!D46</f>
        <v>397.9066291200001</v>
      </c>
      <c r="F38" s="99">
        <f>'Market Analysis'!E46</f>
        <v>452.15758916164202</v>
      </c>
      <c r="G38" s="99">
        <f>'Market Analysis'!F46</f>
        <v>514.41750983209306</v>
      </c>
      <c r="H38" s="99">
        <f>'Market Analysis'!G46</f>
        <v>585.95389092270295</v>
      </c>
      <c r="I38" s="99">
        <f>'Market Analysis'!H46</f>
        <v>668.24769736405869</v>
      </c>
      <c r="J38" s="99">
        <f>'Market Analysis'!I46</f>
        <v>763.03139873715304</v>
      </c>
      <c r="K38" s="99">
        <f>'Market Analysis'!J46</f>
        <v>872.33414849768781</v>
      </c>
      <c r="L38" s="99">
        <f>'Market Analysis'!K46</f>
        <v>998.53550903520704</v>
      </c>
      <c r="M38" s="99">
        <f>'Market Analysis'!L46</f>
        <v>1144.4294183433854</v>
      </c>
      <c r="N38" s="99">
        <f>'Market Analysis'!M46</f>
        <v>1313.3004459729095</v>
      </c>
      <c r="O38" s="99">
        <f>'Market Analysis'!N46</f>
        <v>1509.0148139920366</v>
      </c>
      <c r="P38" s="99">
        <f>'Market Analysis'!O46</f>
        <v>1736.1291800423189</v>
      </c>
      <c r="Q38" s="99">
        <f>'Market Analysis'!P46</f>
        <v>2000.0208154087513</v>
      </c>
      <c r="R38" s="75">
        <f>RATE(12,,-E38,Q38)</f>
        <v>0.14403096222037312</v>
      </c>
      <c r="T38" s="72">
        <v>2023</v>
      </c>
      <c r="U38" s="72">
        <v>2024</v>
      </c>
      <c r="V38" s="72">
        <v>2025</v>
      </c>
      <c r="W38" s="72">
        <v>2026</v>
      </c>
      <c r="X38" s="72">
        <v>2027</v>
      </c>
      <c r="Y38" s="72">
        <v>2028</v>
      </c>
      <c r="Z38" s="72">
        <v>2029</v>
      </c>
      <c r="AA38" s="72">
        <v>2030</v>
      </c>
      <c r="AB38" s="72">
        <v>2031</v>
      </c>
      <c r="AC38" s="72">
        <v>2032</v>
      </c>
      <c r="AD38" s="72">
        <v>2033</v>
      </c>
      <c r="AE38" s="72">
        <v>2034</v>
      </c>
      <c r="AF38" s="72">
        <v>2035</v>
      </c>
      <c r="AG38" s="72">
        <v>2036</v>
      </c>
    </row>
    <row r="39" spans="1:33" x14ac:dyDescent="0.25">
      <c r="A39" s="110" t="s">
        <v>51</v>
      </c>
      <c r="B39" s="59" t="s">
        <v>34</v>
      </c>
      <c r="C39" s="52"/>
      <c r="D39" s="86">
        <f>D38*T39</f>
        <v>193.42683360000004</v>
      </c>
      <c r="E39" s="86">
        <f t="shared" ref="E39:Q39" si="24">E38*U39</f>
        <v>223.19442849878175</v>
      </c>
      <c r="F39" s="86">
        <f t="shared" si="24"/>
        <v>254.0423649705948</v>
      </c>
      <c r="G39" s="86">
        <f t="shared" si="24"/>
        <v>289.49843013393797</v>
      </c>
      <c r="H39" s="86">
        <f t="shared" si="24"/>
        <v>330.29960967130552</v>
      </c>
      <c r="I39" s="86">
        <f t="shared" si="24"/>
        <v>377.30819385451025</v>
      </c>
      <c r="J39" s="86">
        <f t="shared" si="24"/>
        <v>431.53430222108892</v>
      </c>
      <c r="K39" s="86">
        <f t="shared" si="24"/>
        <v>494.16267017135385</v>
      </c>
      <c r="L39" s="86">
        <f t="shared" si="24"/>
        <v>566.5845431776338</v>
      </c>
      <c r="M39" s="86">
        <f t="shared" si="24"/>
        <v>650.43569973889669</v>
      </c>
      <c r="N39" s="86">
        <f t="shared" si="24"/>
        <v>747.64183760587332</v>
      </c>
      <c r="O39" s="86">
        <f t="shared" si="24"/>
        <v>860.47281768395612</v>
      </c>
      <c r="P39" s="86">
        <f t="shared" si="24"/>
        <v>991.60757692872062</v>
      </c>
      <c r="Q39" s="86">
        <f t="shared" si="24"/>
        <v>1144.2119084953447</v>
      </c>
      <c r="R39" s="84">
        <f>RATE(12,,-E39,Q39)</f>
        <v>0.14591373825917778</v>
      </c>
      <c r="S39" s="59" t="s">
        <v>34</v>
      </c>
      <c r="T39" s="12">
        <v>0.56000000000000005</v>
      </c>
      <c r="U39" s="12">
        <v>0.56092161367703952</v>
      </c>
      <c r="V39" s="12">
        <v>0.56184474408938223</v>
      </c>
      <c r="W39" s="12">
        <v>0.56276939373317769</v>
      </c>
      <c r="X39" s="12">
        <v>0.56369556510868446</v>
      </c>
      <c r="Y39" s="12">
        <v>0.56462326072027491</v>
      </c>
      <c r="Z39" s="12">
        <v>0.56555248307644368</v>
      </c>
      <c r="AA39" s="12">
        <v>0.56648323468981299</v>
      </c>
      <c r="AB39" s="12">
        <v>0.56741551807714108</v>
      </c>
      <c r="AC39" s="12">
        <v>0.56834933575932756</v>
      </c>
      <c r="AD39" s="12">
        <v>0.56928469026142059</v>
      </c>
      <c r="AE39" s="12">
        <v>0.57022158411262425</v>
      </c>
      <c r="AF39" s="12">
        <v>0.57116001984630527</v>
      </c>
      <c r="AG39" s="12">
        <v>0.57209999999999905</v>
      </c>
    </row>
    <row r="40" spans="1:33" ht="15.75" thickBot="1" x14ac:dyDescent="0.3">
      <c r="A40" s="111"/>
      <c r="B40" s="60" t="s">
        <v>35</v>
      </c>
      <c r="C40" s="53"/>
      <c r="D40" s="87">
        <f>D38*T40</f>
        <v>151.97822640000001</v>
      </c>
      <c r="E40" s="87">
        <f t="shared" ref="E40:Q40" si="25">E38*U40</f>
        <v>174.71220062121836</v>
      </c>
      <c r="F40" s="87">
        <f t="shared" si="25"/>
        <v>198.11522419104722</v>
      </c>
      <c r="G40" s="87">
        <f t="shared" si="25"/>
        <v>224.91907969815509</v>
      </c>
      <c r="H40" s="87">
        <f t="shared" si="25"/>
        <v>255.65428125139746</v>
      </c>
      <c r="I40" s="87">
        <f t="shared" si="25"/>
        <v>290.93950350954844</v>
      </c>
      <c r="J40" s="87">
        <f t="shared" si="25"/>
        <v>331.49709651606412</v>
      </c>
      <c r="K40" s="87">
        <f t="shared" si="25"/>
        <v>378.17147832633395</v>
      </c>
      <c r="L40" s="87">
        <f t="shared" si="25"/>
        <v>431.95096585757324</v>
      </c>
      <c r="M40" s="87">
        <f t="shared" si="25"/>
        <v>493.99371860448866</v>
      </c>
      <c r="N40" s="87">
        <f t="shared" si="25"/>
        <v>565.65860836703621</v>
      </c>
      <c r="O40" s="87">
        <f t="shared" si="25"/>
        <v>648.54199630808046</v>
      </c>
      <c r="P40" s="87">
        <f t="shared" si="25"/>
        <v>744.5216031135983</v>
      </c>
      <c r="Q40" s="87">
        <f t="shared" si="25"/>
        <v>855.80890691340653</v>
      </c>
      <c r="R40" s="85">
        <f>RATE(12,,-E40,Q40)</f>
        <v>0.1415750385427999</v>
      </c>
      <c r="S40" s="60" t="s">
        <v>35</v>
      </c>
      <c r="T40" s="12">
        <f>1-T39</f>
        <v>0.43999999999999995</v>
      </c>
      <c r="U40" s="12">
        <f t="shared" ref="U40:AG40" si="26">1-U39</f>
        <v>0.43907838632296048</v>
      </c>
      <c r="V40" s="12">
        <f t="shared" si="26"/>
        <v>0.43815525591061777</v>
      </c>
      <c r="W40" s="12">
        <f t="shared" si="26"/>
        <v>0.43723060626682231</v>
      </c>
      <c r="X40" s="12">
        <f t="shared" si="26"/>
        <v>0.43630443489131554</v>
      </c>
      <c r="Y40" s="12">
        <f t="shared" si="26"/>
        <v>0.43537673927972509</v>
      </c>
      <c r="Z40" s="12">
        <f t="shared" si="26"/>
        <v>0.43444751692355632</v>
      </c>
      <c r="AA40" s="12">
        <f t="shared" si="26"/>
        <v>0.43351676531018701</v>
      </c>
      <c r="AB40" s="12">
        <f t="shared" si="26"/>
        <v>0.43258448192285892</v>
      </c>
      <c r="AC40" s="12">
        <f t="shared" si="26"/>
        <v>0.43165066424067244</v>
      </c>
      <c r="AD40" s="12">
        <f t="shared" si="26"/>
        <v>0.43071530973857941</v>
      </c>
      <c r="AE40" s="12">
        <f t="shared" si="26"/>
        <v>0.42977841588737575</v>
      </c>
      <c r="AF40" s="12">
        <f t="shared" si="26"/>
        <v>0.42883998015369473</v>
      </c>
      <c r="AG40" s="12">
        <f t="shared" si="26"/>
        <v>0.42790000000000095</v>
      </c>
    </row>
    <row r="41" spans="1:33" ht="15.75" thickBot="1" x14ac:dyDescent="0.3">
      <c r="A41" s="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21"/>
    </row>
    <row r="42" spans="1:33" x14ac:dyDescent="0.25">
      <c r="A42" s="110" t="s">
        <v>15</v>
      </c>
      <c r="B42" s="64" t="s">
        <v>16</v>
      </c>
      <c r="C42" s="54"/>
      <c r="D42" s="89">
        <f>D38*T42</f>
        <v>162.68578325999999</v>
      </c>
      <c r="E42" s="89">
        <f t="shared" ref="E42:Q42" si="27">E38*U42</f>
        <v>187.16915669760004</v>
      </c>
      <c r="F42" s="89">
        <f t="shared" si="27"/>
        <v>212.40972284693441</v>
      </c>
      <c r="G42" s="89">
        <f t="shared" si="27"/>
        <v>241.3409532666104</v>
      </c>
      <c r="H42" s="89">
        <f t="shared" si="27"/>
        <v>274.54193458539874</v>
      </c>
      <c r="I42" s="89">
        <f t="shared" si="27"/>
        <v>312.68851869735141</v>
      </c>
      <c r="J42" s="89">
        <f t="shared" si="27"/>
        <v>356.57044210216958</v>
      </c>
      <c r="K42" s="89">
        <f t="shared" si="27"/>
        <v>407.11163684119009</v>
      </c>
      <c r="L42" s="89">
        <f t="shared" si="27"/>
        <v>465.39435763417839</v>
      </c>
      <c r="M42" s="89">
        <f t="shared" si="27"/>
        <v>532.68787772275573</v>
      </c>
      <c r="N42" s="89">
        <f t="shared" si="27"/>
        <v>610.4826611549455</v>
      </c>
      <c r="O42" s="89">
        <f t="shared" si="27"/>
        <v>700.53110788014931</v>
      </c>
      <c r="P42" s="89">
        <f t="shared" si="27"/>
        <v>804.896197547312</v>
      </c>
      <c r="Q42" s="89">
        <f t="shared" si="27"/>
        <v>926.00963753425185</v>
      </c>
      <c r="R42" s="76">
        <f>RATE(12,,-E42,Q42)</f>
        <v>0.14252339555703239</v>
      </c>
      <c r="S42" s="64" t="s">
        <v>16</v>
      </c>
      <c r="T42" s="12">
        <v>0.47099999999999992</v>
      </c>
      <c r="U42" s="12">
        <v>0.47038461538461535</v>
      </c>
      <c r="V42" s="12">
        <v>0.46976923076923072</v>
      </c>
      <c r="W42" s="12">
        <v>0.46915384615384609</v>
      </c>
      <c r="X42" s="12">
        <v>0.46853846153846151</v>
      </c>
      <c r="Y42" s="12">
        <v>0.46792307692307689</v>
      </c>
      <c r="Z42" s="12">
        <v>0.46730769230769226</v>
      </c>
      <c r="AA42" s="12">
        <v>0.46669230769230763</v>
      </c>
      <c r="AB42" s="12">
        <v>0.46607692307692306</v>
      </c>
      <c r="AC42" s="12">
        <v>0.46546153846153843</v>
      </c>
      <c r="AD42" s="12">
        <v>0.4648461538461538</v>
      </c>
      <c r="AE42" s="12">
        <v>0.46423076923076922</v>
      </c>
      <c r="AF42" s="12">
        <v>0.4636153846153846</v>
      </c>
      <c r="AG42" s="12">
        <v>0.46299999999999997</v>
      </c>
    </row>
    <row r="43" spans="1:33" ht="15.75" thickBot="1" x14ac:dyDescent="0.3">
      <c r="A43" s="111"/>
      <c r="B43" s="65" t="s">
        <v>17</v>
      </c>
      <c r="C43" s="55"/>
      <c r="D43" s="90">
        <f>D38*T43</f>
        <v>182.71927674000008</v>
      </c>
      <c r="E43" s="90">
        <f t="shared" ref="E43:Q43" si="28">E38*U43</f>
        <v>210.73747242240006</v>
      </c>
      <c r="F43" s="90">
        <f t="shared" si="28"/>
        <v>239.74786631470761</v>
      </c>
      <c r="G43" s="90">
        <f t="shared" si="28"/>
        <v>273.07655656548269</v>
      </c>
      <c r="H43" s="90">
        <f t="shared" si="28"/>
        <v>311.41195633730416</v>
      </c>
      <c r="I43" s="90">
        <f t="shared" si="28"/>
        <v>355.55917866670728</v>
      </c>
      <c r="J43" s="90">
        <f t="shared" si="28"/>
        <v>406.46095663498352</v>
      </c>
      <c r="K43" s="90">
        <f t="shared" si="28"/>
        <v>465.22251165649772</v>
      </c>
      <c r="L43" s="90">
        <f t="shared" si="28"/>
        <v>533.14115140102865</v>
      </c>
      <c r="M43" s="90">
        <f t="shared" si="28"/>
        <v>611.74154062062973</v>
      </c>
      <c r="N43" s="90">
        <f t="shared" si="28"/>
        <v>702.81778481796403</v>
      </c>
      <c r="O43" s="90">
        <f t="shared" si="28"/>
        <v>808.48370611188727</v>
      </c>
      <c r="P43" s="90">
        <f t="shared" si="28"/>
        <v>931.23298249500704</v>
      </c>
      <c r="Q43" s="90">
        <f t="shared" si="28"/>
        <v>1074.0111778744995</v>
      </c>
      <c r="R43" s="77">
        <f>RATE(12,,-E43,Q43)</f>
        <v>0.14535184445497915</v>
      </c>
      <c r="S43" s="65" t="s">
        <v>17</v>
      </c>
      <c r="T43" s="12">
        <f>1-T42</f>
        <v>0.52900000000000014</v>
      </c>
      <c r="U43" s="12">
        <f t="shared" ref="U43:AG43" si="29">1-U42</f>
        <v>0.5296153846153846</v>
      </c>
      <c r="V43" s="12">
        <f t="shared" si="29"/>
        <v>0.53023076923076928</v>
      </c>
      <c r="W43" s="12">
        <f t="shared" si="29"/>
        <v>0.53084615384615397</v>
      </c>
      <c r="X43" s="12">
        <f t="shared" si="29"/>
        <v>0.53146153846153843</v>
      </c>
      <c r="Y43" s="12">
        <f t="shared" si="29"/>
        <v>0.53207692307692311</v>
      </c>
      <c r="Z43" s="12">
        <f t="shared" si="29"/>
        <v>0.5326923076923078</v>
      </c>
      <c r="AA43" s="12">
        <f t="shared" si="29"/>
        <v>0.53330769230769237</v>
      </c>
      <c r="AB43" s="12">
        <f t="shared" si="29"/>
        <v>0.53392307692307694</v>
      </c>
      <c r="AC43" s="12">
        <f t="shared" si="29"/>
        <v>0.53453846153846163</v>
      </c>
      <c r="AD43" s="12">
        <f t="shared" si="29"/>
        <v>0.5351538461538462</v>
      </c>
      <c r="AE43" s="12">
        <f t="shared" si="29"/>
        <v>0.53576923076923078</v>
      </c>
      <c r="AF43" s="12">
        <f t="shared" si="29"/>
        <v>0.53638461538461546</v>
      </c>
      <c r="AG43" s="12">
        <f t="shared" si="29"/>
        <v>0.53700000000000003</v>
      </c>
    </row>
    <row r="44" spans="1:33" ht="15.75" thickBot="1" x14ac:dyDescent="0.3">
      <c r="A44" s="1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21"/>
    </row>
    <row r="45" spans="1:33" x14ac:dyDescent="0.25">
      <c r="A45" s="110" t="s">
        <v>18</v>
      </c>
      <c r="B45" s="61" t="s">
        <v>19</v>
      </c>
      <c r="C45" s="56"/>
      <c r="D45" s="91">
        <f>D38*T45</f>
        <v>138.50742906000002</v>
      </c>
      <c r="E45" s="91">
        <f t="shared" ref="E45:Q45" si="30">E38*U45</f>
        <v>160.21746445245387</v>
      </c>
      <c r="F45" s="91">
        <f t="shared" si="30"/>
        <v>182.81120519549</v>
      </c>
      <c r="G45" s="91">
        <f t="shared" si="30"/>
        <v>208.83968873494308</v>
      </c>
      <c r="H45" s="91">
        <f t="shared" si="30"/>
        <v>238.86088894100115</v>
      </c>
      <c r="I45" s="91">
        <f t="shared" si="30"/>
        <v>273.5290014339954</v>
      </c>
      <c r="J45" s="91">
        <f t="shared" si="30"/>
        <v>313.61196662742771</v>
      </c>
      <c r="K45" s="91">
        <f t="shared" si="30"/>
        <v>360.01234848261595</v>
      </c>
      <c r="L45" s="91">
        <f t="shared" si="30"/>
        <v>413.79224237048089</v>
      </c>
      <c r="M45" s="91">
        <f t="shared" si="30"/>
        <v>476.20302661560254</v>
      </c>
      <c r="N45" s="91">
        <f t="shared" si="30"/>
        <v>548.72094432173208</v>
      </c>
      <c r="O45" s="91">
        <f t="shared" si="30"/>
        <v>633.08971195324614</v>
      </c>
      <c r="P45" s="91">
        <f t="shared" si="30"/>
        <v>731.37160753205785</v>
      </c>
      <c r="Q45" s="91">
        <f t="shared" si="30"/>
        <v>846.00880491790053</v>
      </c>
      <c r="R45" s="78">
        <f>RATE(12,,-E45,Q45)</f>
        <v>0.14874090440130744</v>
      </c>
      <c r="S45" s="61" t="s">
        <v>19</v>
      </c>
      <c r="T45" s="12">
        <v>0.40099999999999997</v>
      </c>
      <c r="U45" s="12">
        <v>0.40265090533119946</v>
      </c>
      <c r="V45" s="12">
        <v>0.40430860739160734</v>
      </c>
      <c r="W45" s="12">
        <v>0.40597313416316017</v>
      </c>
      <c r="X45" s="12">
        <v>0.40764451374299493</v>
      </c>
      <c r="Y45" s="12">
        <v>0.40932277434392395</v>
      </c>
      <c r="Z45" s="12">
        <v>0.41100794429491083</v>
      </c>
      <c r="AA45" s="12">
        <v>0.4127000520415488</v>
      </c>
      <c r="AB45" s="12">
        <v>0.41439912614654062</v>
      </c>
      <c r="AC45" s="12">
        <v>0.41610519529018092</v>
      </c>
      <c r="AD45" s="12">
        <v>0.41781828827084017</v>
      </c>
      <c r="AE45" s="12">
        <v>0.4195384340054511</v>
      </c>
      <c r="AF45" s="12">
        <v>0.4212656615299965</v>
      </c>
      <c r="AG45" s="12">
        <v>0.42299999999999938</v>
      </c>
    </row>
    <row r="46" spans="1:33" ht="15.75" thickBot="1" x14ac:dyDescent="0.3">
      <c r="A46" s="111"/>
      <c r="B46" s="63" t="s">
        <v>20</v>
      </c>
      <c r="C46" s="51"/>
      <c r="D46" s="92">
        <f>D38*T46</f>
        <v>206.89763094000003</v>
      </c>
      <c r="E46" s="92">
        <f t="shared" ref="E46:Q46" si="31">E38*U46</f>
        <v>237.68916466754624</v>
      </c>
      <c r="F46" s="92">
        <f t="shared" si="31"/>
        <v>269.34638396615202</v>
      </c>
      <c r="G46" s="92">
        <f t="shared" si="31"/>
        <v>305.57782109714998</v>
      </c>
      <c r="H46" s="92">
        <f t="shared" si="31"/>
        <v>347.09300198170183</v>
      </c>
      <c r="I46" s="92">
        <f t="shared" si="31"/>
        <v>394.71869593006329</v>
      </c>
      <c r="J46" s="92">
        <f t="shared" si="31"/>
        <v>449.41943210972534</v>
      </c>
      <c r="K46" s="92">
        <f t="shared" si="31"/>
        <v>512.32180001507186</v>
      </c>
      <c r="L46" s="92">
        <f t="shared" si="31"/>
        <v>584.74326666472609</v>
      </c>
      <c r="M46" s="92">
        <f t="shared" si="31"/>
        <v>668.22639172778293</v>
      </c>
      <c r="N46" s="92">
        <f t="shared" si="31"/>
        <v>764.57950165117757</v>
      </c>
      <c r="O46" s="92">
        <f t="shared" si="31"/>
        <v>875.92510203879044</v>
      </c>
      <c r="P46" s="92">
        <f t="shared" si="31"/>
        <v>1004.757572510261</v>
      </c>
      <c r="Q46" s="92">
        <f t="shared" si="31"/>
        <v>1154.0120104908508</v>
      </c>
      <c r="R46" s="79">
        <f>RATE(12,,-E46,Q46)</f>
        <v>0.14073144162691395</v>
      </c>
      <c r="S46" s="63" t="s">
        <v>20</v>
      </c>
      <c r="T46" s="12">
        <f>1-T45</f>
        <v>0.59899999999999998</v>
      </c>
      <c r="U46" s="12">
        <f t="shared" ref="U46:AG46" si="32">1-U45</f>
        <v>0.59734909466880048</v>
      </c>
      <c r="V46" s="12">
        <f t="shared" si="32"/>
        <v>0.59569139260839266</v>
      </c>
      <c r="W46" s="12">
        <f t="shared" si="32"/>
        <v>0.59402686583683983</v>
      </c>
      <c r="X46" s="12">
        <f t="shared" si="32"/>
        <v>0.59235548625700507</v>
      </c>
      <c r="Y46" s="12">
        <f t="shared" si="32"/>
        <v>0.59067722565607605</v>
      </c>
      <c r="Z46" s="12">
        <f t="shared" si="32"/>
        <v>0.58899205570508917</v>
      </c>
      <c r="AA46" s="12">
        <f t="shared" si="32"/>
        <v>0.5872999479584512</v>
      </c>
      <c r="AB46" s="12">
        <f t="shared" si="32"/>
        <v>0.58560087385345938</v>
      </c>
      <c r="AC46" s="12">
        <f t="shared" si="32"/>
        <v>0.58389480470981914</v>
      </c>
      <c r="AD46" s="12">
        <f t="shared" si="32"/>
        <v>0.58218171172915989</v>
      </c>
      <c r="AE46" s="12">
        <f t="shared" si="32"/>
        <v>0.5804615659945489</v>
      </c>
      <c r="AF46" s="12">
        <f t="shared" si="32"/>
        <v>0.57873433847000344</v>
      </c>
      <c r="AG46" s="12">
        <f t="shared" si="32"/>
        <v>0.57700000000000062</v>
      </c>
    </row>
    <row r="47" spans="1:33" ht="15.75" thickBot="1" x14ac:dyDescent="0.3">
      <c r="A47" s="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21"/>
    </row>
    <row r="48" spans="1:33" x14ac:dyDescent="0.25">
      <c r="A48" s="110" t="s">
        <v>14</v>
      </c>
      <c r="B48" s="66" t="s">
        <v>21</v>
      </c>
      <c r="C48" s="57"/>
      <c r="D48" s="93">
        <f>D38*T48</f>
        <v>86.351265000000012</v>
      </c>
      <c r="E48" s="93">
        <f t="shared" ref="E48:Q48" si="33">E38*U48</f>
        <v>100.09577428738646</v>
      </c>
      <c r="F48" s="93">
        <f t="shared" si="33"/>
        <v>114.45083185929477</v>
      </c>
      <c r="G48" s="93">
        <f t="shared" si="33"/>
        <v>131.02055414851955</v>
      </c>
      <c r="H48" s="93">
        <f t="shared" si="33"/>
        <v>150.16948515054094</v>
      </c>
      <c r="I48" s="93">
        <f t="shared" si="33"/>
        <v>172.32579092920977</v>
      </c>
      <c r="J48" s="93">
        <f t="shared" si="33"/>
        <v>197.99297405107598</v>
      </c>
      <c r="K48" s="93">
        <f t="shared" si="33"/>
        <v>227.76385436591605</v>
      </c>
      <c r="L48" s="93">
        <f t="shared" si="33"/>
        <v>262.33727527786255</v>
      </c>
      <c r="M48" s="93">
        <f t="shared" si="33"/>
        <v>302.53809177819926</v>
      </c>
      <c r="N48" s="93">
        <f t="shared" si="33"/>
        <v>349.34111503758504</v>
      </c>
      <c r="O48" s="93">
        <f t="shared" si="33"/>
        <v>403.89983318265615</v>
      </c>
      <c r="P48" s="93">
        <f t="shared" si="33"/>
        <v>467.58090507414761</v>
      </c>
      <c r="Q48" s="93">
        <f t="shared" si="33"/>
        <v>542.00564097577183</v>
      </c>
      <c r="R48" s="80">
        <f t="shared" ref="R48:R53" si="34">RATE(12,,-E48,Q48)</f>
        <v>0.15115111527969102</v>
      </c>
      <c r="S48" s="66" t="s">
        <v>21</v>
      </c>
      <c r="T48" s="12">
        <v>0.25</v>
      </c>
      <c r="U48" s="12">
        <v>0.25155593539307364</v>
      </c>
      <c r="V48" s="12">
        <v>0.25312155452593693</v>
      </c>
      <c r="W48" s="12">
        <v>0.25469691766768382</v>
      </c>
      <c r="X48" s="12">
        <v>0.25628208546250747</v>
      </c>
      <c r="Y48" s="12">
        <v>0.2578771189320348</v>
      </c>
      <c r="Z48" s="12">
        <v>0.25948207947767565</v>
      </c>
      <c r="AA48" s="12">
        <v>0.2610970288829863</v>
      </c>
      <c r="AB48" s="12">
        <v>0.26272202931604799</v>
      </c>
      <c r="AC48" s="12">
        <v>0.26435714333185978</v>
      </c>
      <c r="AD48" s="12">
        <v>0.26600243387474731</v>
      </c>
      <c r="AE48" s="12">
        <v>0.26765796428078514</v>
      </c>
      <c r="AF48" s="12">
        <v>0.26932379828023517</v>
      </c>
      <c r="AG48" s="12">
        <v>0.27100000000000013</v>
      </c>
    </row>
    <row r="49" spans="1:33" x14ac:dyDescent="0.25">
      <c r="A49" s="112"/>
      <c r="B49" s="67" t="s">
        <v>22</v>
      </c>
      <c r="C49" s="48"/>
      <c r="D49" s="94">
        <f>D38*T49</f>
        <v>131.25392280000003</v>
      </c>
      <c r="E49" s="94">
        <f t="shared" ref="E49:Q49" si="35">E38*U49</f>
        <v>151.56657008185641</v>
      </c>
      <c r="F49" s="94">
        <f t="shared" si="35"/>
        <v>172.64369576581663</v>
      </c>
      <c r="G49" s="94">
        <f t="shared" si="35"/>
        <v>196.88620776232912</v>
      </c>
      <c r="H49" s="94">
        <f t="shared" si="35"/>
        <v>224.80276331496975</v>
      </c>
      <c r="I49" s="94">
        <f t="shared" si="35"/>
        <v>256.98887630152268</v>
      </c>
      <c r="J49" s="94">
        <f t="shared" si="35"/>
        <v>294.14259230120734</v>
      </c>
      <c r="K49" s="94">
        <f t="shared" si="35"/>
        <v>337.08314042228227</v>
      </c>
      <c r="L49" s="94">
        <f t="shared" si="35"/>
        <v>386.77315458548463</v>
      </c>
      <c r="M49" s="94">
        <f t="shared" si="35"/>
        <v>444.34518030974692</v>
      </c>
      <c r="N49" s="94">
        <f t="shared" si="35"/>
        <v>511.13333316071498</v>
      </c>
      <c r="O49" s="94">
        <f t="shared" si="35"/>
        <v>588.71115793956835</v>
      </c>
      <c r="P49" s="94">
        <f t="shared" si="35"/>
        <v>678.93696086421687</v>
      </c>
      <c r="Q49" s="94">
        <f t="shared" si="35"/>
        <v>784.00815964023059</v>
      </c>
      <c r="R49" s="81">
        <f t="shared" si="34"/>
        <v>0.1467702822820762</v>
      </c>
      <c r="S49" s="67" t="s">
        <v>22</v>
      </c>
      <c r="T49" s="12">
        <v>0.38</v>
      </c>
      <c r="U49" s="12">
        <v>0.38090988938047371</v>
      </c>
      <c r="V49" s="12">
        <v>0.38182195744169661</v>
      </c>
      <c r="W49" s="12">
        <v>0.38273620940040159</v>
      </c>
      <c r="X49" s="12">
        <v>0.38365265048581265</v>
      </c>
      <c r="Y49" s="12">
        <v>0.38457128593967477</v>
      </c>
      <c r="Z49" s="12">
        <v>0.38549212101628438</v>
      </c>
      <c r="AA49" s="12">
        <v>0.38641516098251855</v>
      </c>
      <c r="AB49" s="12">
        <v>0.38734041111786593</v>
      </c>
      <c r="AC49" s="12">
        <v>0.38826787671445667</v>
      </c>
      <c r="AD49" s="12">
        <v>0.38919756307709236</v>
      </c>
      <c r="AE49" s="12">
        <v>0.39012947552327681</v>
      </c>
      <c r="AF49" s="12">
        <v>0.3910636193832463</v>
      </c>
      <c r="AG49" s="12">
        <v>0.39200000000000002</v>
      </c>
    </row>
    <row r="50" spans="1:33" x14ac:dyDescent="0.25">
      <c r="A50" s="112"/>
      <c r="B50" s="68" t="s">
        <v>23</v>
      </c>
      <c r="C50" s="48"/>
      <c r="D50" s="95">
        <f>D49*T50</f>
        <v>45.938872979999992</v>
      </c>
      <c r="E50" s="95">
        <f t="shared" ref="E50:Q50" si="36">E49*U50</f>
        <v>52.955220053446155</v>
      </c>
      <c r="F50" s="95">
        <f t="shared" si="36"/>
        <v>60.213432992285803</v>
      </c>
      <c r="G50" s="95">
        <f t="shared" si="36"/>
        <v>68.548075815318441</v>
      </c>
      <c r="H50" s="95">
        <f t="shared" si="36"/>
        <v>78.1301988526412</v>
      </c>
      <c r="I50" s="95">
        <f t="shared" si="36"/>
        <v>89.159765937430464</v>
      </c>
      <c r="J50" s="95">
        <f t="shared" si="36"/>
        <v>101.87082418908398</v>
      </c>
      <c r="K50" s="95">
        <f t="shared" si="36"/>
        <v>116.53764715330313</v>
      </c>
      <c r="L50" s="95">
        <f t="shared" si="36"/>
        <v>133.48204355362842</v>
      </c>
      <c r="M50" s="95">
        <f t="shared" si="36"/>
        <v>153.08206362063035</v>
      </c>
      <c r="N50" s="95">
        <f t="shared" si="36"/>
        <v>175.78238323179914</v>
      </c>
      <c r="O50" s="95">
        <f t="shared" si="36"/>
        <v>202.10670483492183</v>
      </c>
      <c r="P50" s="95">
        <f t="shared" si="36"/>
        <v>232.67258570451239</v>
      </c>
      <c r="Q50" s="95">
        <f t="shared" si="36"/>
        <v>268.20919141292273</v>
      </c>
      <c r="R50" s="81">
        <f t="shared" si="34"/>
        <v>0.14475813906540205</v>
      </c>
      <c r="S50" s="68" t="s">
        <v>23</v>
      </c>
      <c r="T50" s="74">
        <v>0.34999999999999987</v>
      </c>
      <c r="U50" s="74">
        <v>0.34938588387166564</v>
      </c>
      <c r="V50" s="74">
        <v>0.34877284528224306</v>
      </c>
      <c r="W50" s="74">
        <v>0.34816088234106346</v>
      </c>
      <c r="X50" s="74">
        <v>0.34754999316077562</v>
      </c>
      <c r="Y50" s="74">
        <v>0.34694017585733994</v>
      </c>
      <c r="Z50" s="74">
        <v>0.34633142855002247</v>
      </c>
      <c r="AA50" s="74">
        <v>0.34572374936138933</v>
      </c>
      <c r="AB50" s="74">
        <v>0.34511713641730069</v>
      </c>
      <c r="AC50" s="74">
        <v>0.34451158784690528</v>
      </c>
      <c r="AD50" s="74">
        <v>0.34390710178263434</v>
      </c>
      <c r="AE50" s="74">
        <v>0.34330367636019604</v>
      </c>
      <c r="AF50" s="74">
        <v>0.34270130971856966</v>
      </c>
      <c r="AG50" s="74">
        <v>0.34209999999999979</v>
      </c>
    </row>
    <row r="51" spans="1:33" x14ac:dyDescent="0.25">
      <c r="A51" s="112"/>
      <c r="B51" s="68" t="s">
        <v>24</v>
      </c>
      <c r="C51" s="48"/>
      <c r="D51" s="95">
        <f>D49*T51</f>
        <v>36.751098384000009</v>
      </c>
      <c r="E51" s="95">
        <f t="shared" ref="E51:Q51" si="37">E49*U51</f>
        <v>42.587051835758579</v>
      </c>
      <c r="F51" s="95">
        <f t="shared" si="37"/>
        <v>48.678927377392156</v>
      </c>
      <c r="G51" s="95">
        <f t="shared" si="37"/>
        <v>55.708529151741793</v>
      </c>
      <c r="H51" s="95">
        <f t="shared" si="37"/>
        <v>63.829900233075548</v>
      </c>
      <c r="I51" s="95">
        <f t="shared" si="37"/>
        <v>73.223918826761974</v>
      </c>
      <c r="J51" s="95">
        <f t="shared" si="37"/>
        <v>84.103230973378572</v>
      </c>
      <c r="K51" s="95">
        <f t="shared" si="37"/>
        <v>96.718136072579696</v>
      </c>
      <c r="L51" s="95">
        <f t="shared" si="37"/>
        <v>111.36361797884882</v>
      </c>
      <c r="M51" s="95">
        <f t="shared" si="37"/>
        <v>128.38775513977188</v>
      </c>
      <c r="N51" s="95">
        <f t="shared" si="37"/>
        <v>148.20179292591106</v>
      </c>
      <c r="O51" s="95">
        <f t="shared" si="37"/>
        <v>171.292221988969</v>
      </c>
      <c r="P51" s="95">
        <f t="shared" si="37"/>
        <v>198.23528071715148</v>
      </c>
      <c r="Q51" s="95">
        <f t="shared" si="37"/>
        <v>229.71439077458729</v>
      </c>
      <c r="R51" s="81">
        <f t="shared" si="34"/>
        <v>0.15078065388483694</v>
      </c>
      <c r="S51" s="68" t="s">
        <v>24</v>
      </c>
      <c r="T51" s="74">
        <v>0.28000000000000003</v>
      </c>
      <c r="U51" s="74">
        <v>0.28097918830490543</v>
      </c>
      <c r="V51" s="74">
        <v>0.28196180093029821</v>
      </c>
      <c r="W51" s="74">
        <v>0.28294784985137333</v>
      </c>
      <c r="X51" s="74">
        <v>0.28393734708520407</v>
      </c>
      <c r="Y51" s="74">
        <v>0.28493030469088876</v>
      </c>
      <c r="Z51" s="74">
        <v>0.28592673476969749</v>
      </c>
      <c r="AA51" s="74">
        <v>0.28692664946521995</v>
      </c>
      <c r="AB51" s="74">
        <v>0.28793006096351298</v>
      </c>
      <c r="AC51" s="74">
        <v>0.28893698149324931</v>
      </c>
      <c r="AD51" s="74">
        <v>0.28994742332586665</v>
      </c>
      <c r="AE51" s="74">
        <v>0.29096139877571725</v>
      </c>
      <c r="AF51" s="74">
        <v>0.29197892020021765</v>
      </c>
      <c r="AG51" s="74">
        <v>0.29299999999999965</v>
      </c>
    </row>
    <row r="52" spans="1:33" x14ac:dyDescent="0.25">
      <c r="A52" s="112"/>
      <c r="B52" s="68" t="s">
        <v>25</v>
      </c>
      <c r="C52" s="48"/>
      <c r="D52" s="95">
        <f>D49*T52</f>
        <v>48.563951436000025</v>
      </c>
      <c r="E52" s="95">
        <f t="shared" ref="E52:Q52" si="38">E49*U52</f>
        <v>56.024298192651685</v>
      </c>
      <c r="F52" s="95">
        <f t="shared" si="38"/>
        <v>63.751335396138671</v>
      </c>
      <c r="G52" s="95">
        <f t="shared" si="38"/>
        <v>72.62960279526888</v>
      </c>
      <c r="H52" s="95">
        <f t="shared" si="38"/>
        <v>82.842664229252989</v>
      </c>
      <c r="I52" s="95">
        <f t="shared" si="38"/>
        <v>94.605191537330242</v>
      </c>
      <c r="J52" s="95">
        <f t="shared" si="38"/>
        <v>108.1685371387448</v>
      </c>
      <c r="K52" s="95">
        <f t="shared" si="38"/>
        <v>123.82735719639948</v>
      </c>
      <c r="L52" s="95">
        <f t="shared" si="38"/>
        <v>141.9274930530074</v>
      </c>
      <c r="M52" s="95">
        <f t="shared" si="38"/>
        <v>162.87536154934472</v>
      </c>
      <c r="N52" s="95">
        <f t="shared" si="38"/>
        <v>187.14915700300475</v>
      </c>
      <c r="O52" s="95">
        <f t="shared" si="38"/>
        <v>215.31223111567749</v>
      </c>
      <c r="P52" s="95">
        <f t="shared" si="38"/>
        <v>248.02909444255303</v>
      </c>
      <c r="Q52" s="95">
        <f t="shared" si="38"/>
        <v>286.08457745272057</v>
      </c>
      <c r="R52" s="81">
        <f t="shared" si="34"/>
        <v>0.14553888318707037</v>
      </c>
      <c r="S52" s="68" t="s">
        <v>25</v>
      </c>
      <c r="T52" s="74">
        <f>1-SUM(T50:T51)</f>
        <v>0.37000000000000011</v>
      </c>
      <c r="U52" s="74">
        <f t="shared" ref="U52:AG52" si="39">1-SUM(U50:U51)</f>
        <v>0.36963492782342899</v>
      </c>
      <c r="V52" s="74">
        <f t="shared" si="39"/>
        <v>0.36926535378745873</v>
      </c>
      <c r="W52" s="74">
        <f t="shared" si="39"/>
        <v>0.36889126780756321</v>
      </c>
      <c r="X52" s="74">
        <f t="shared" si="39"/>
        <v>0.36851265975402026</v>
      </c>
      <c r="Y52" s="74">
        <f t="shared" si="39"/>
        <v>0.3681295194517713</v>
      </c>
      <c r="Z52" s="74">
        <f t="shared" si="39"/>
        <v>0.36774183668028004</v>
      </c>
      <c r="AA52" s="74">
        <f t="shared" si="39"/>
        <v>0.36734960117339077</v>
      </c>
      <c r="AB52" s="74">
        <f t="shared" si="39"/>
        <v>0.36695280261918639</v>
      </c>
      <c r="AC52" s="74">
        <f t="shared" si="39"/>
        <v>0.36655143065984541</v>
      </c>
      <c r="AD52" s="74">
        <f t="shared" si="39"/>
        <v>0.36614547489149896</v>
      </c>
      <c r="AE52" s="74">
        <f t="shared" si="39"/>
        <v>0.36573492486408665</v>
      </c>
      <c r="AF52" s="74">
        <f t="shared" si="39"/>
        <v>0.36531977008121275</v>
      </c>
      <c r="AG52" s="74">
        <f t="shared" si="39"/>
        <v>0.36490000000000056</v>
      </c>
    </row>
    <row r="53" spans="1:33" ht="15.75" thickBot="1" x14ac:dyDescent="0.3">
      <c r="A53" s="111"/>
      <c r="B53" s="69" t="s">
        <v>26</v>
      </c>
      <c r="C53" s="58"/>
      <c r="D53" s="96">
        <f>D38*T53</f>
        <v>127.79987220000001</v>
      </c>
      <c r="E53" s="96">
        <f t="shared" ref="E53:Q53" si="40">E38*U53</f>
        <v>146.24428475075726</v>
      </c>
      <c r="F53" s="96">
        <f t="shared" si="40"/>
        <v>165.06306153653063</v>
      </c>
      <c r="G53" s="96">
        <f t="shared" si="40"/>
        <v>186.51074792124442</v>
      </c>
      <c r="H53" s="96">
        <f t="shared" si="40"/>
        <v>210.98164245719229</v>
      </c>
      <c r="I53" s="96">
        <f t="shared" si="40"/>
        <v>238.93303013332624</v>
      </c>
      <c r="J53" s="96">
        <f t="shared" si="40"/>
        <v>270.89583238486972</v>
      </c>
      <c r="K53" s="96">
        <f t="shared" si="40"/>
        <v>307.48715370948946</v>
      </c>
      <c r="L53" s="96">
        <f t="shared" si="40"/>
        <v>349.42507917185986</v>
      </c>
      <c r="M53" s="96">
        <f t="shared" si="40"/>
        <v>397.54614625543928</v>
      </c>
      <c r="N53" s="96">
        <f t="shared" si="40"/>
        <v>452.82599777460962</v>
      </c>
      <c r="O53" s="96">
        <f t="shared" si="40"/>
        <v>516.40382286981207</v>
      </c>
      <c r="P53" s="96">
        <f t="shared" si="40"/>
        <v>589.61131410395456</v>
      </c>
      <c r="Q53" s="96">
        <f t="shared" si="40"/>
        <v>674.00701479274892</v>
      </c>
      <c r="R53" s="82">
        <f t="shared" si="34"/>
        <v>0.13579196711197375</v>
      </c>
      <c r="S53" s="69" t="s">
        <v>26</v>
      </c>
      <c r="T53" s="12">
        <f>1-SUM(T48+T49)</f>
        <v>0.37</v>
      </c>
      <c r="U53" s="12">
        <f t="shared" ref="U53:AG53" si="41">1-SUM(U48+U49)</f>
        <v>0.36753417522645271</v>
      </c>
      <c r="V53" s="12">
        <f t="shared" si="41"/>
        <v>0.36505648803236646</v>
      </c>
      <c r="W53" s="12">
        <f t="shared" si="41"/>
        <v>0.36256687293191459</v>
      </c>
      <c r="X53" s="12">
        <f t="shared" si="41"/>
        <v>0.36006526405167993</v>
      </c>
      <c r="Y53" s="12">
        <f t="shared" si="41"/>
        <v>0.35755159512829038</v>
      </c>
      <c r="Z53" s="12">
        <f t="shared" si="41"/>
        <v>0.35502579950603996</v>
      </c>
      <c r="AA53" s="12">
        <f t="shared" si="41"/>
        <v>0.35248781013449515</v>
      </c>
      <c r="AB53" s="12">
        <f t="shared" si="41"/>
        <v>0.34993755956608608</v>
      </c>
      <c r="AC53" s="12">
        <f t="shared" si="41"/>
        <v>0.3473749799536836</v>
      </c>
      <c r="AD53" s="12">
        <f t="shared" si="41"/>
        <v>0.34480000304816039</v>
      </c>
      <c r="AE53" s="12">
        <f t="shared" si="41"/>
        <v>0.34221256019593804</v>
      </c>
      <c r="AF53" s="12">
        <f t="shared" si="41"/>
        <v>0.33961258233651859</v>
      </c>
      <c r="AG53" s="12">
        <f t="shared" si="41"/>
        <v>0.33699999999999986</v>
      </c>
    </row>
    <row r="54" spans="1:33" ht="15.75" thickBot="1" x14ac:dyDescent="0.3">
      <c r="A54" s="2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21"/>
    </row>
    <row r="55" spans="1:33" x14ac:dyDescent="0.25">
      <c r="A55" s="113" t="s">
        <v>27</v>
      </c>
      <c r="B55" s="61" t="s">
        <v>28</v>
      </c>
      <c r="C55" s="56"/>
      <c r="D55" s="91">
        <f>D38*T55</f>
        <v>138.50742906000002</v>
      </c>
      <c r="E55" s="91">
        <f t="shared" ref="E55:Q55" si="42">E38*U55</f>
        <v>160.21746445245387</v>
      </c>
      <c r="F55" s="91">
        <f t="shared" si="42"/>
        <v>182.81120519549</v>
      </c>
      <c r="G55" s="91">
        <f t="shared" si="42"/>
        <v>208.83968873494308</v>
      </c>
      <c r="H55" s="91">
        <f t="shared" si="42"/>
        <v>238.86088894100115</v>
      </c>
      <c r="I55" s="91">
        <f t="shared" si="42"/>
        <v>273.5290014339954</v>
      </c>
      <c r="J55" s="91">
        <f t="shared" si="42"/>
        <v>313.61196662742771</v>
      </c>
      <c r="K55" s="91">
        <f t="shared" si="42"/>
        <v>360.01234848261595</v>
      </c>
      <c r="L55" s="91">
        <f t="shared" si="42"/>
        <v>413.79224237048089</v>
      </c>
      <c r="M55" s="91">
        <f t="shared" si="42"/>
        <v>476.20302661560254</v>
      </c>
      <c r="N55" s="91">
        <f t="shared" si="42"/>
        <v>548.72094432173208</v>
      </c>
      <c r="O55" s="91">
        <f t="shared" si="42"/>
        <v>633.08971195324614</v>
      </c>
      <c r="P55" s="91">
        <f t="shared" si="42"/>
        <v>731.37160753205785</v>
      </c>
      <c r="Q55" s="91">
        <f t="shared" si="42"/>
        <v>846.00880491790053</v>
      </c>
      <c r="R55" s="78">
        <f>RATE(12,,-E55,Q55)</f>
        <v>0.14874090440130744</v>
      </c>
      <c r="S55" s="61" t="s">
        <v>28</v>
      </c>
      <c r="T55" s="12">
        <v>0.40099999999999997</v>
      </c>
      <c r="U55" s="12">
        <v>0.40265090533119946</v>
      </c>
      <c r="V55" s="12">
        <v>0.40430860739160734</v>
      </c>
      <c r="W55" s="12">
        <v>0.40597313416316017</v>
      </c>
      <c r="X55" s="12">
        <v>0.40764451374299493</v>
      </c>
      <c r="Y55" s="12">
        <v>0.40932277434392395</v>
      </c>
      <c r="Z55" s="12">
        <v>0.41100794429491083</v>
      </c>
      <c r="AA55" s="12">
        <v>0.4127000520415488</v>
      </c>
      <c r="AB55" s="12">
        <v>0.41439912614654062</v>
      </c>
      <c r="AC55" s="12">
        <v>0.41610519529018092</v>
      </c>
      <c r="AD55" s="12">
        <v>0.41781828827084017</v>
      </c>
      <c r="AE55" s="12">
        <v>0.4195384340054511</v>
      </c>
      <c r="AF55" s="12">
        <v>0.4212656615299965</v>
      </c>
      <c r="AG55" s="12">
        <v>0.42299999999999938</v>
      </c>
    </row>
    <row r="56" spans="1:33" x14ac:dyDescent="0.25">
      <c r="A56" s="114"/>
      <c r="B56" s="62" t="s">
        <v>29</v>
      </c>
      <c r="C56" s="47"/>
      <c r="D56" s="97">
        <f>D38*T56</f>
        <v>148.86958086000001</v>
      </c>
      <c r="E56" s="97">
        <f t="shared" ref="E56:Q56" si="43">E38*U56</f>
        <v>171.83054506385045</v>
      </c>
      <c r="F56" s="97">
        <f t="shared" si="43"/>
        <v>195.63697579517654</v>
      </c>
      <c r="G56" s="97">
        <f t="shared" si="43"/>
        <v>223.00714714965267</v>
      </c>
      <c r="H56" s="97">
        <f t="shared" si="43"/>
        <v>254.51208260061944</v>
      </c>
      <c r="I56" s="97">
        <f t="shared" si="43"/>
        <v>290.82005763826515</v>
      </c>
      <c r="J56" s="97">
        <f t="shared" si="43"/>
        <v>332.71410894754655</v>
      </c>
      <c r="K56" s="97">
        <f t="shared" si="43"/>
        <v>381.11286129245582</v>
      </c>
      <c r="L56" s="97">
        <f t="shared" si="43"/>
        <v>437.09533132292177</v>
      </c>
      <c r="M56" s="97">
        <f t="shared" si="43"/>
        <v>501.93050444988199</v>
      </c>
      <c r="N56" s="97">
        <f t="shared" si="43"/>
        <v>577.11264751809881</v>
      </c>
      <c r="O56" s="97">
        <f t="shared" si="43"/>
        <v>664.40352292589216</v>
      </c>
      <c r="P56" s="97">
        <f t="shared" si="43"/>
        <v>765.88291733939434</v>
      </c>
      <c r="Q56" s="97">
        <f t="shared" si="43"/>
        <v>884.00920041066865</v>
      </c>
      <c r="R56" s="83">
        <f>RATE(12,,-E56,Q56)</f>
        <v>0.14625093105726003</v>
      </c>
      <c r="S56" s="62" t="s">
        <v>29</v>
      </c>
      <c r="T56" s="12">
        <v>0.43099999999999999</v>
      </c>
      <c r="U56" s="12">
        <v>0.43183634674261745</v>
      </c>
      <c r="V56" s="12">
        <v>0.43267431639909548</v>
      </c>
      <c r="W56" s="12">
        <v>0.43351391211866536</v>
      </c>
      <c r="X56" s="12">
        <v>0.43435513705666956</v>
      </c>
      <c r="Y56" s="12">
        <v>0.43519799437457324</v>
      </c>
      <c r="Z56" s="12">
        <v>0.43604248723997657</v>
      </c>
      <c r="AA56" s="12">
        <v>0.43688861882662616</v>
      </c>
      <c r="AB56" s="12">
        <v>0.43773639231442729</v>
      </c>
      <c r="AC56" s="12">
        <v>0.43858581088945586</v>
      </c>
      <c r="AD56" s="12">
        <v>0.43943687774397006</v>
      </c>
      <c r="AE56" s="12">
        <v>0.44028959607642287</v>
      </c>
      <c r="AF56" s="12">
        <v>0.44114396909147369</v>
      </c>
      <c r="AG56" s="12">
        <v>0.44200000000000028</v>
      </c>
    </row>
    <row r="57" spans="1:33" ht="15.75" thickBot="1" x14ac:dyDescent="0.3">
      <c r="A57" s="115"/>
      <c r="B57" s="63" t="s">
        <v>30</v>
      </c>
      <c r="C57" s="51"/>
      <c r="D57" s="92">
        <f>D38*T57</f>
        <v>58.028050080000021</v>
      </c>
      <c r="E57" s="92">
        <f t="shared" ref="E57:Q57" si="44">E38*U57</f>
        <v>65.8586196036958</v>
      </c>
      <c r="F57" s="92">
        <f t="shared" si="44"/>
        <v>73.709408170975479</v>
      </c>
      <c r="G57" s="92">
        <f t="shared" si="44"/>
        <v>82.570673947497284</v>
      </c>
      <c r="H57" s="92">
        <f t="shared" si="44"/>
        <v>92.580919381082339</v>
      </c>
      <c r="I57" s="92">
        <f t="shared" si="44"/>
        <v>103.89863829179815</v>
      </c>
      <c r="J57" s="92">
        <f t="shared" si="44"/>
        <v>116.70532316217877</v>
      </c>
      <c r="K57" s="92">
        <f t="shared" si="44"/>
        <v>131.20893872261601</v>
      </c>
      <c r="L57" s="92">
        <f t="shared" si="44"/>
        <v>147.64793534180438</v>
      </c>
      <c r="M57" s="92">
        <f t="shared" si="44"/>
        <v>166.29588727790085</v>
      </c>
      <c r="N57" s="92">
        <f t="shared" si="44"/>
        <v>187.46685413307867</v>
      </c>
      <c r="O57" s="92">
        <f t="shared" si="44"/>
        <v>211.52157911289837</v>
      </c>
      <c r="P57" s="92">
        <f t="shared" si="44"/>
        <v>238.87465517086684</v>
      </c>
      <c r="Q57" s="92">
        <f t="shared" si="44"/>
        <v>270.00281008018209</v>
      </c>
      <c r="R57" s="79">
        <f>RATE(12,,-E57,Q57)</f>
        <v>0.12476805093880382</v>
      </c>
      <c r="S57" s="63" t="s">
        <v>30</v>
      </c>
      <c r="T57" s="12">
        <f>1-SUM(T55:T56)</f>
        <v>0.16800000000000004</v>
      </c>
      <c r="U57" s="12">
        <f t="shared" ref="U57:AG57" si="45">1-SUM(U55:U56)</f>
        <v>0.16551274792618309</v>
      </c>
      <c r="V57" s="12">
        <f t="shared" si="45"/>
        <v>0.16301707620929717</v>
      </c>
      <c r="W57" s="12">
        <f t="shared" si="45"/>
        <v>0.16051295371817442</v>
      </c>
      <c r="X57" s="12">
        <f t="shared" si="45"/>
        <v>0.15800034920033545</v>
      </c>
      <c r="Y57" s="12">
        <f t="shared" si="45"/>
        <v>0.15547923128150276</v>
      </c>
      <c r="Z57" s="12">
        <f t="shared" si="45"/>
        <v>0.15294956846511254</v>
      </c>
      <c r="AA57" s="12">
        <f t="shared" si="45"/>
        <v>0.15041132913182498</v>
      </c>
      <c r="AB57" s="12">
        <f t="shared" si="45"/>
        <v>0.14786448153903209</v>
      </c>
      <c r="AC57" s="12">
        <f t="shared" si="45"/>
        <v>0.14530899382036322</v>
      </c>
      <c r="AD57" s="12">
        <f t="shared" si="45"/>
        <v>0.14274483398518978</v>
      </c>
      <c r="AE57" s="12">
        <f t="shared" si="45"/>
        <v>0.14017196991812608</v>
      </c>
      <c r="AF57" s="12">
        <f t="shared" si="45"/>
        <v>0.13759036937852986</v>
      </c>
      <c r="AG57" s="12">
        <f t="shared" si="45"/>
        <v>0.13500000000000034</v>
      </c>
    </row>
    <row r="61" spans="1:33" ht="26.25" x14ac:dyDescent="0.4">
      <c r="A61" s="109" t="s">
        <v>66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70"/>
    </row>
    <row r="62" spans="1:33" ht="24" thickBot="1" x14ac:dyDescent="0.4">
      <c r="A62" s="70"/>
      <c r="B62" s="70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spans="1:33" ht="15.75" x14ac:dyDescent="0.25">
      <c r="A63" s="49"/>
      <c r="B63" s="50"/>
      <c r="C63" s="100"/>
      <c r="D63" s="98">
        <v>2023</v>
      </c>
      <c r="E63" s="72">
        <v>2024</v>
      </c>
      <c r="F63" s="72">
        <v>2025</v>
      </c>
      <c r="G63" s="72">
        <v>2026</v>
      </c>
      <c r="H63" s="72">
        <v>2027</v>
      </c>
      <c r="I63" s="72">
        <v>2028</v>
      </c>
      <c r="J63" s="72">
        <v>2029</v>
      </c>
      <c r="K63" s="72">
        <v>2030</v>
      </c>
      <c r="L63" s="72">
        <v>2031</v>
      </c>
      <c r="M63" s="72">
        <v>2032</v>
      </c>
      <c r="N63" s="72">
        <v>2033</v>
      </c>
      <c r="O63" s="72">
        <v>2034</v>
      </c>
      <c r="P63" s="72">
        <v>2035</v>
      </c>
      <c r="Q63" s="72">
        <v>2036</v>
      </c>
      <c r="R63" s="73" t="s">
        <v>13</v>
      </c>
    </row>
    <row r="64" spans="1:33" ht="16.5" thickBot="1" x14ac:dyDescent="0.3">
      <c r="A64" s="26"/>
      <c r="B64" s="101"/>
      <c r="C64" s="102"/>
      <c r="D64" s="99">
        <f>'Market Analysis'!C48</f>
        <v>191.89169999999999</v>
      </c>
      <c r="E64" s="99">
        <f>'Market Analysis'!D48</f>
        <v>215.30248739999996</v>
      </c>
      <c r="F64" s="99">
        <f>'Market Analysis'!E48</f>
        <v>234.68335587734805</v>
      </c>
      <c r="G64" s="99">
        <f>'Market Analysis'!F48</f>
        <v>256.05021355945286</v>
      </c>
      <c r="H64" s="99">
        <f>'Market Analysis'!G48</f>
        <v>279.62879593687961</v>
      </c>
      <c r="I64" s="99">
        <f>'Market Analysis'!H48</f>
        <v>305.67285196737504</v>
      </c>
      <c r="J64" s="99">
        <f>'Market Analysis'!I48</f>
        <v>334.46789804226313</v>
      </c>
      <c r="K64" s="99">
        <f>'Market Analysis'!J48</f>
        <v>366.33551072070696</v>
      </c>
      <c r="L64" s="99">
        <f>'Market Analysis'!K48</f>
        <v>401.63824051641529</v>
      </c>
      <c r="M64" s="99">
        <f>'Market Analysis'!L48</f>
        <v>440.78524232593116</v>
      </c>
      <c r="N64" s="99">
        <f>'Market Analysis'!M48</f>
        <v>484.23873365996593</v>
      </c>
      <c r="O64" s="99">
        <f>'Market Analysis'!N48</f>
        <v>532.52141008537501</v>
      </c>
      <c r="P64" s="99">
        <f>'Market Analysis'!O48</f>
        <v>586.22496868746543</v>
      </c>
      <c r="Q64" s="99">
        <f>'Market Analysis'!P48</f>
        <v>646.01991549358684</v>
      </c>
      <c r="R64" s="75">
        <f>RATE(12,,-E64,Q64)</f>
        <v>9.5888589266716423E-2</v>
      </c>
      <c r="T64" s="72">
        <v>2023</v>
      </c>
      <c r="U64" s="72">
        <v>2024</v>
      </c>
      <c r="V64" s="72">
        <v>2025</v>
      </c>
      <c r="W64" s="72">
        <v>2026</v>
      </c>
      <c r="X64" s="72">
        <v>2027</v>
      </c>
      <c r="Y64" s="72">
        <v>2028</v>
      </c>
      <c r="Z64" s="72">
        <v>2029</v>
      </c>
      <c r="AA64" s="72">
        <v>2030</v>
      </c>
      <c r="AB64" s="72">
        <v>2031</v>
      </c>
      <c r="AC64" s="72">
        <v>2032</v>
      </c>
      <c r="AD64" s="72">
        <v>2033</v>
      </c>
      <c r="AE64" s="72">
        <v>2034</v>
      </c>
      <c r="AF64" s="72">
        <v>2035</v>
      </c>
      <c r="AG64" s="72">
        <v>2036</v>
      </c>
    </row>
    <row r="65" spans="1:33" x14ac:dyDescent="0.25">
      <c r="A65" s="110" t="s">
        <v>51</v>
      </c>
      <c r="B65" s="59" t="s">
        <v>34</v>
      </c>
      <c r="C65" s="52"/>
      <c r="D65" s="86">
        <f>D64*T65</f>
        <v>107.459352</v>
      </c>
      <c r="E65" s="86">
        <f t="shared" ref="E65:Q65" si="46">E64*U65</f>
        <v>120.76781866108844</v>
      </c>
      <c r="F65" s="86">
        <f t="shared" si="46"/>
        <v>131.85561002494603</v>
      </c>
      <c r="G65" s="86">
        <f t="shared" si="46"/>
        <v>144.09722345010397</v>
      </c>
      <c r="H65" s="86">
        <f t="shared" si="46"/>
        <v>157.62551214630037</v>
      </c>
      <c r="I65" s="86">
        <f t="shared" si="46"/>
        <v>172.5900023914852</v>
      </c>
      <c r="J65" s="86">
        <f t="shared" si="46"/>
        <v>189.15915024716071</v>
      </c>
      <c r="K65" s="86">
        <f t="shared" si="46"/>
        <v>207.52292509481074</v>
      </c>
      <c r="L65" s="86">
        <f t="shared" si="46"/>
        <v>227.89577032221317</v>
      </c>
      <c r="M65" s="86">
        <f t="shared" si="46"/>
        <v>250.5199996884572</v>
      </c>
      <c r="N65" s="86">
        <f t="shared" si="46"/>
        <v>275.66969750419622</v>
      </c>
      <c r="O65" s="86">
        <f t="shared" si="46"/>
        <v>303.65520203277094</v>
      </c>
      <c r="P65" s="86">
        <f t="shared" si="46"/>
        <v>334.82826474993243</v>
      </c>
      <c r="Q65" s="86">
        <f t="shared" si="46"/>
        <v>369.5879936538804</v>
      </c>
      <c r="R65" s="84">
        <f>RATE(12,,-E65,Q65)</f>
        <v>9.7692135538805458E-2</v>
      </c>
      <c r="S65" s="59" t="s">
        <v>34</v>
      </c>
      <c r="T65" s="12">
        <v>0.56000000000000005</v>
      </c>
      <c r="U65" s="12">
        <v>0.56092161367703952</v>
      </c>
      <c r="V65" s="12">
        <v>0.56184474408938223</v>
      </c>
      <c r="W65" s="12">
        <v>0.56276939373317769</v>
      </c>
      <c r="X65" s="12">
        <v>0.56369556510868446</v>
      </c>
      <c r="Y65" s="12">
        <v>0.56462326072027491</v>
      </c>
      <c r="Z65" s="12">
        <v>0.56555248307644368</v>
      </c>
      <c r="AA65" s="12">
        <v>0.56648323468981299</v>
      </c>
      <c r="AB65" s="12">
        <v>0.56741551807714108</v>
      </c>
      <c r="AC65" s="12">
        <v>0.56834933575932756</v>
      </c>
      <c r="AD65" s="12">
        <v>0.56928469026142059</v>
      </c>
      <c r="AE65" s="12">
        <v>0.57022158411262425</v>
      </c>
      <c r="AF65" s="12">
        <v>0.57116001984630527</v>
      </c>
      <c r="AG65" s="12">
        <v>0.57209999999999905</v>
      </c>
    </row>
    <row r="66" spans="1:33" ht="15.75" thickBot="1" x14ac:dyDescent="0.3">
      <c r="A66" s="111"/>
      <c r="B66" s="60" t="s">
        <v>35</v>
      </c>
      <c r="C66" s="53"/>
      <c r="D66" s="87">
        <f>D64*T66</f>
        <v>84.43234799999999</v>
      </c>
      <c r="E66" s="87">
        <f t="shared" ref="E66:Q66" si="47">E64*U66</f>
        <v>94.53466873891152</v>
      </c>
      <c r="F66" s="87">
        <f t="shared" si="47"/>
        <v>102.82774585240202</v>
      </c>
      <c r="G66" s="87">
        <f t="shared" si="47"/>
        <v>111.9529901093489</v>
      </c>
      <c r="H66" s="87">
        <f t="shared" si="47"/>
        <v>122.00328379057925</v>
      </c>
      <c r="I66" s="87">
        <f t="shared" si="47"/>
        <v>133.08284957588984</v>
      </c>
      <c r="J66" s="87">
        <f t="shared" si="47"/>
        <v>145.30874779510242</v>
      </c>
      <c r="K66" s="87">
        <f t="shared" si="47"/>
        <v>158.81258562589622</v>
      </c>
      <c r="L66" s="87">
        <f t="shared" si="47"/>
        <v>173.74247019420213</v>
      </c>
      <c r="M66" s="87">
        <f t="shared" si="47"/>
        <v>190.26524263747396</v>
      </c>
      <c r="N66" s="87">
        <f t="shared" si="47"/>
        <v>208.56903615576968</v>
      </c>
      <c r="O66" s="87">
        <f t="shared" si="47"/>
        <v>228.86620805260407</v>
      </c>
      <c r="P66" s="87">
        <f t="shared" si="47"/>
        <v>251.396703937533</v>
      </c>
      <c r="Q66" s="87">
        <f t="shared" si="47"/>
        <v>276.43192183970643</v>
      </c>
      <c r="R66" s="85">
        <f>RATE(12,,-E66,Q66)</f>
        <v>9.3536014185490388E-2</v>
      </c>
      <c r="S66" s="60" t="s">
        <v>35</v>
      </c>
      <c r="T66" s="12">
        <f>1-T65</f>
        <v>0.43999999999999995</v>
      </c>
      <c r="U66" s="12">
        <f t="shared" ref="U66:AG66" si="48">1-U65</f>
        <v>0.43907838632296048</v>
      </c>
      <c r="V66" s="12">
        <f t="shared" si="48"/>
        <v>0.43815525591061777</v>
      </c>
      <c r="W66" s="12">
        <f t="shared" si="48"/>
        <v>0.43723060626682231</v>
      </c>
      <c r="X66" s="12">
        <f t="shared" si="48"/>
        <v>0.43630443489131554</v>
      </c>
      <c r="Y66" s="12">
        <f t="shared" si="48"/>
        <v>0.43537673927972509</v>
      </c>
      <c r="Z66" s="12">
        <f t="shared" si="48"/>
        <v>0.43444751692355632</v>
      </c>
      <c r="AA66" s="12">
        <f t="shared" si="48"/>
        <v>0.43351676531018701</v>
      </c>
      <c r="AB66" s="12">
        <f t="shared" si="48"/>
        <v>0.43258448192285892</v>
      </c>
      <c r="AC66" s="12">
        <f t="shared" si="48"/>
        <v>0.43165066424067244</v>
      </c>
      <c r="AD66" s="12">
        <f t="shared" si="48"/>
        <v>0.43071530973857941</v>
      </c>
      <c r="AE66" s="12">
        <f t="shared" si="48"/>
        <v>0.42977841588737575</v>
      </c>
      <c r="AF66" s="12">
        <f t="shared" si="48"/>
        <v>0.42883998015369473</v>
      </c>
      <c r="AG66" s="12">
        <f t="shared" si="48"/>
        <v>0.42790000000000095</v>
      </c>
    </row>
    <row r="67" spans="1:33" ht="15.75" thickBot="1" x14ac:dyDescent="0.3">
      <c r="A67" s="1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21"/>
    </row>
    <row r="68" spans="1:33" x14ac:dyDescent="0.25">
      <c r="A68" s="110" t="s">
        <v>15</v>
      </c>
      <c r="B68" s="64" t="s">
        <v>16</v>
      </c>
      <c r="C68" s="54"/>
      <c r="D68" s="89">
        <f>D64*T68</f>
        <v>90.380990699999984</v>
      </c>
      <c r="E68" s="89">
        <f t="shared" ref="E68:Q68" si="49">E64*U68</f>
        <v>101.27497772699998</v>
      </c>
      <c r="F68" s="89">
        <f t="shared" si="49"/>
        <v>110.24701956484341</v>
      </c>
      <c r="G68" s="89">
        <f t="shared" si="49"/>
        <v>120.12694249993098</v>
      </c>
      <c r="H68" s="89">
        <f t="shared" si="49"/>
        <v>131.01684585011796</v>
      </c>
      <c r="I68" s="89">
        <f t="shared" si="49"/>
        <v>143.03138142442631</v>
      </c>
      <c r="J68" s="89">
        <f t="shared" si="49"/>
        <v>156.2994215851345</v>
      </c>
      <c r="K68" s="89">
        <f t="shared" si="49"/>
        <v>170.96596488788683</v>
      </c>
      <c r="L68" s="89">
        <f t="shared" si="49"/>
        <v>187.19431532992002</v>
      </c>
      <c r="M68" s="89">
        <f t="shared" si="49"/>
        <v>205.16857702416993</v>
      </c>
      <c r="N68" s="89">
        <f t="shared" si="49"/>
        <v>225.09651288516721</v>
      </c>
      <c r="O68" s="89">
        <f t="shared" si="49"/>
        <v>247.21282383578756</v>
      </c>
      <c r="P68" s="89">
        <f t="shared" si="49"/>
        <v>271.7829143291811</v>
      </c>
      <c r="Q68" s="89">
        <f t="shared" si="49"/>
        <v>299.10722087353071</v>
      </c>
      <c r="R68" s="76">
        <f>RATE(12,,-E68,Q68)</f>
        <v>9.4444463051321204E-2</v>
      </c>
      <c r="S68" s="64" t="s">
        <v>16</v>
      </c>
      <c r="T68" s="12">
        <v>0.47099999999999992</v>
      </c>
      <c r="U68" s="12">
        <v>0.47038461538461535</v>
      </c>
      <c r="V68" s="12">
        <v>0.46976923076923072</v>
      </c>
      <c r="W68" s="12">
        <v>0.46915384615384609</v>
      </c>
      <c r="X68" s="12">
        <v>0.46853846153846151</v>
      </c>
      <c r="Y68" s="12">
        <v>0.46792307692307689</v>
      </c>
      <c r="Z68" s="12">
        <v>0.46730769230769226</v>
      </c>
      <c r="AA68" s="12">
        <v>0.46669230769230763</v>
      </c>
      <c r="AB68" s="12">
        <v>0.46607692307692306</v>
      </c>
      <c r="AC68" s="12">
        <v>0.46546153846153843</v>
      </c>
      <c r="AD68" s="12">
        <v>0.4648461538461538</v>
      </c>
      <c r="AE68" s="12">
        <v>0.46423076923076922</v>
      </c>
      <c r="AF68" s="12">
        <v>0.4636153846153846</v>
      </c>
      <c r="AG68" s="12">
        <v>0.46299999999999997</v>
      </c>
    </row>
    <row r="69" spans="1:33" ht="15.75" thickBot="1" x14ac:dyDescent="0.3">
      <c r="A69" s="111"/>
      <c r="B69" s="65" t="s">
        <v>17</v>
      </c>
      <c r="C69" s="55"/>
      <c r="D69" s="90">
        <f>D64*T69</f>
        <v>101.51070930000002</v>
      </c>
      <c r="E69" s="90">
        <f t="shared" ref="E69:Q69" si="50">E64*U69</f>
        <v>114.02750967299998</v>
      </c>
      <c r="F69" s="90">
        <f t="shared" si="50"/>
        <v>124.43633631250464</v>
      </c>
      <c r="G69" s="90">
        <f t="shared" si="50"/>
        <v>135.92327105952188</v>
      </c>
      <c r="H69" s="90">
        <f t="shared" si="50"/>
        <v>148.61195008676162</v>
      </c>
      <c r="I69" s="90">
        <f t="shared" si="50"/>
        <v>162.64147054294872</v>
      </c>
      <c r="J69" s="90">
        <f t="shared" si="50"/>
        <v>178.16847645712866</v>
      </c>
      <c r="K69" s="90">
        <f t="shared" si="50"/>
        <v>195.36954583282014</v>
      </c>
      <c r="L69" s="90">
        <f t="shared" si="50"/>
        <v>214.44392518649528</v>
      </c>
      <c r="M69" s="90">
        <f t="shared" si="50"/>
        <v>235.61666530176126</v>
      </c>
      <c r="N69" s="90">
        <f t="shared" si="50"/>
        <v>259.14222077479872</v>
      </c>
      <c r="O69" s="90">
        <f t="shared" si="50"/>
        <v>285.30858624958745</v>
      </c>
      <c r="P69" s="90">
        <f t="shared" si="50"/>
        <v>314.44205435828439</v>
      </c>
      <c r="Q69" s="90">
        <f t="shared" si="50"/>
        <v>346.91269462005613</v>
      </c>
      <c r="R69" s="77">
        <f>RATE(12,,-E69,Q69)</f>
        <v>9.7153886987200816E-2</v>
      </c>
      <c r="S69" s="65" t="s">
        <v>17</v>
      </c>
      <c r="T69" s="12">
        <f>1-T68</f>
        <v>0.52900000000000014</v>
      </c>
      <c r="U69" s="12">
        <f t="shared" ref="U69:AG69" si="51">1-U68</f>
        <v>0.5296153846153846</v>
      </c>
      <c r="V69" s="12">
        <f t="shared" si="51"/>
        <v>0.53023076923076928</v>
      </c>
      <c r="W69" s="12">
        <f t="shared" si="51"/>
        <v>0.53084615384615397</v>
      </c>
      <c r="X69" s="12">
        <f t="shared" si="51"/>
        <v>0.53146153846153843</v>
      </c>
      <c r="Y69" s="12">
        <f t="shared" si="51"/>
        <v>0.53207692307692311</v>
      </c>
      <c r="Z69" s="12">
        <f t="shared" si="51"/>
        <v>0.5326923076923078</v>
      </c>
      <c r="AA69" s="12">
        <f t="shared" si="51"/>
        <v>0.53330769230769237</v>
      </c>
      <c r="AB69" s="12">
        <f t="shared" si="51"/>
        <v>0.53392307692307694</v>
      </c>
      <c r="AC69" s="12">
        <f t="shared" si="51"/>
        <v>0.53453846153846163</v>
      </c>
      <c r="AD69" s="12">
        <f t="shared" si="51"/>
        <v>0.5351538461538462</v>
      </c>
      <c r="AE69" s="12">
        <f t="shared" si="51"/>
        <v>0.53576923076923078</v>
      </c>
      <c r="AF69" s="12">
        <f t="shared" si="51"/>
        <v>0.53638461538461546</v>
      </c>
      <c r="AG69" s="12">
        <f t="shared" si="51"/>
        <v>0.53700000000000003</v>
      </c>
    </row>
    <row r="70" spans="1:33" ht="15.75" thickBot="1" x14ac:dyDescent="0.3">
      <c r="A70" s="1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21"/>
    </row>
    <row r="71" spans="1:33" x14ac:dyDescent="0.25">
      <c r="A71" s="110" t="s">
        <v>18</v>
      </c>
      <c r="B71" s="61" t="s">
        <v>19</v>
      </c>
      <c r="C71" s="56"/>
      <c r="D71" s="91">
        <f>D64*T71</f>
        <v>76.948571699999988</v>
      </c>
      <c r="E71" s="91">
        <f t="shared" ref="E71:Q71" si="52">E64*U71</f>
        <v>86.691741471669147</v>
      </c>
      <c r="F71" s="91">
        <f t="shared" si="52"/>
        <v>94.884500792759582</v>
      </c>
      <c r="G71" s="91">
        <f t="shared" si="52"/>
        <v>103.94950770187756</v>
      </c>
      <c r="H71" s="91">
        <f t="shared" si="52"/>
        <v>113.98914454822845</v>
      </c>
      <c r="I71" s="91">
        <f t="shared" si="52"/>
        <v>125.11885980890553</v>
      </c>
      <c r="J71" s="91">
        <f t="shared" si="52"/>
        <v>137.4689632069904</v>
      </c>
      <c r="K71" s="91">
        <f t="shared" si="52"/>
        <v>151.18668433910312</v>
      </c>
      <c r="L71" s="91">
        <f t="shared" si="52"/>
        <v>166.43853589703662</v>
      </c>
      <c r="M71" s="91">
        <f t="shared" si="52"/>
        <v>183.4130293390613</v>
      </c>
      <c r="N71" s="91">
        <f t="shared" si="52"/>
        <v>202.32379881224622</v>
      </c>
      <c r="O71" s="91">
        <f t="shared" si="52"/>
        <v>223.41319846159286</v>
      </c>
      <c r="P71" s="91">
        <f t="shared" si="52"/>
        <v>246.95644923952662</v>
      </c>
      <c r="Q71" s="91">
        <f t="shared" si="52"/>
        <v>273.26642425378685</v>
      </c>
      <c r="R71" s="78">
        <f>RATE(12,,-E71,Q71)</f>
        <v>0.10040033069889273</v>
      </c>
      <c r="S71" s="61" t="s">
        <v>19</v>
      </c>
      <c r="T71" s="12">
        <v>0.40099999999999997</v>
      </c>
      <c r="U71" s="12">
        <v>0.40265090533119946</v>
      </c>
      <c r="V71" s="12">
        <v>0.40430860739160734</v>
      </c>
      <c r="W71" s="12">
        <v>0.40597313416316017</v>
      </c>
      <c r="X71" s="12">
        <v>0.40764451374299493</v>
      </c>
      <c r="Y71" s="12">
        <v>0.40932277434392395</v>
      </c>
      <c r="Z71" s="12">
        <v>0.41100794429491083</v>
      </c>
      <c r="AA71" s="12">
        <v>0.4127000520415488</v>
      </c>
      <c r="AB71" s="12">
        <v>0.41439912614654062</v>
      </c>
      <c r="AC71" s="12">
        <v>0.41610519529018092</v>
      </c>
      <c r="AD71" s="12">
        <v>0.41781828827084017</v>
      </c>
      <c r="AE71" s="12">
        <v>0.4195384340054511</v>
      </c>
      <c r="AF71" s="12">
        <v>0.4212656615299965</v>
      </c>
      <c r="AG71" s="12">
        <v>0.42299999999999938</v>
      </c>
    </row>
    <row r="72" spans="1:33" ht="15.75" thickBot="1" x14ac:dyDescent="0.3">
      <c r="A72" s="111"/>
      <c r="B72" s="63" t="s">
        <v>20</v>
      </c>
      <c r="C72" s="51"/>
      <c r="D72" s="92">
        <f>D64*T72</f>
        <v>114.94312829999998</v>
      </c>
      <c r="E72" s="92">
        <f t="shared" ref="E72:Q72" si="53">E64*U72</f>
        <v>128.6107459283308</v>
      </c>
      <c r="F72" s="92">
        <f t="shared" si="53"/>
        <v>139.79885508458847</v>
      </c>
      <c r="G72" s="92">
        <f t="shared" si="53"/>
        <v>152.10070585757529</v>
      </c>
      <c r="H72" s="92">
        <f t="shared" si="53"/>
        <v>165.63965138865117</v>
      </c>
      <c r="I72" s="92">
        <f t="shared" si="53"/>
        <v>180.55399215846953</v>
      </c>
      <c r="J72" s="92">
        <f t="shared" si="53"/>
        <v>196.99893483527273</v>
      </c>
      <c r="K72" s="92">
        <f t="shared" si="53"/>
        <v>215.14882638160384</v>
      </c>
      <c r="L72" s="92">
        <f t="shared" si="53"/>
        <v>235.19970461937868</v>
      </c>
      <c r="M72" s="92">
        <f t="shared" si="53"/>
        <v>257.3722129868699</v>
      </c>
      <c r="N72" s="92">
        <f t="shared" si="53"/>
        <v>281.91493484771973</v>
      </c>
      <c r="O72" s="92">
        <f t="shared" si="53"/>
        <v>309.10821162378215</v>
      </c>
      <c r="P72" s="92">
        <f t="shared" si="53"/>
        <v>339.26851944793879</v>
      </c>
      <c r="Q72" s="92">
        <f t="shared" si="53"/>
        <v>372.75349123979998</v>
      </c>
      <c r="R72" s="79">
        <f>RATE(12,,-E72,Q72)</f>
        <v>9.2727916971444821E-2</v>
      </c>
      <c r="S72" s="63" t="s">
        <v>20</v>
      </c>
      <c r="T72" s="12">
        <f>1-T71</f>
        <v>0.59899999999999998</v>
      </c>
      <c r="U72" s="12">
        <f t="shared" ref="U72:AG72" si="54">1-U71</f>
        <v>0.59734909466880048</v>
      </c>
      <c r="V72" s="12">
        <f t="shared" si="54"/>
        <v>0.59569139260839266</v>
      </c>
      <c r="W72" s="12">
        <f t="shared" si="54"/>
        <v>0.59402686583683983</v>
      </c>
      <c r="X72" s="12">
        <f t="shared" si="54"/>
        <v>0.59235548625700507</v>
      </c>
      <c r="Y72" s="12">
        <f t="shared" si="54"/>
        <v>0.59067722565607605</v>
      </c>
      <c r="Z72" s="12">
        <f t="shared" si="54"/>
        <v>0.58899205570508917</v>
      </c>
      <c r="AA72" s="12">
        <f t="shared" si="54"/>
        <v>0.5872999479584512</v>
      </c>
      <c r="AB72" s="12">
        <f t="shared" si="54"/>
        <v>0.58560087385345938</v>
      </c>
      <c r="AC72" s="12">
        <f t="shared" si="54"/>
        <v>0.58389480470981914</v>
      </c>
      <c r="AD72" s="12">
        <f t="shared" si="54"/>
        <v>0.58218171172915989</v>
      </c>
      <c r="AE72" s="12">
        <f t="shared" si="54"/>
        <v>0.5804615659945489</v>
      </c>
      <c r="AF72" s="12">
        <f t="shared" si="54"/>
        <v>0.57873433847000344</v>
      </c>
      <c r="AG72" s="12">
        <f t="shared" si="54"/>
        <v>0.57700000000000062</v>
      </c>
    </row>
    <row r="73" spans="1:33" ht="15.75" thickBot="1" x14ac:dyDescent="0.3">
      <c r="A73" s="2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21"/>
    </row>
    <row r="74" spans="1:33" x14ac:dyDescent="0.25">
      <c r="A74" s="110" t="s">
        <v>14</v>
      </c>
      <c r="B74" s="66" t="s">
        <v>21</v>
      </c>
      <c r="C74" s="57"/>
      <c r="D74" s="93">
        <f>D64*T74</f>
        <v>47.972924999999996</v>
      </c>
      <c r="E74" s="93">
        <f t="shared" ref="E74:Q74" si="55">E64*U74</f>
        <v>54.160618610362441</v>
      </c>
      <c r="F74" s="93">
        <f t="shared" si="55"/>
        <v>59.403415861038013</v>
      </c>
      <c r="G74" s="93">
        <f t="shared" si="55"/>
        <v>65.215200161744818</v>
      </c>
      <c r="H74" s="93">
        <f t="shared" si="55"/>
        <v>71.663850978073441</v>
      </c>
      <c r="I74" s="93">
        <f t="shared" si="55"/>
        <v>78.826034401085039</v>
      </c>
      <c r="J74" s="93">
        <f t="shared" si="55"/>
        <v>86.788425702533644</v>
      </c>
      <c r="K74" s="93">
        <f t="shared" si="55"/>
        <v>95.64911342350797</v>
      </c>
      <c r="L74" s="93">
        <f t="shared" si="55"/>
        <v>105.51921359939959</v>
      </c>
      <c r="M74" s="93">
        <f t="shared" si="55"/>
        <v>116.52472748412472</v>
      </c>
      <c r="N74" s="93">
        <f t="shared" si="55"/>
        <v>128.80868172997646</v>
      </c>
      <c r="O74" s="93">
        <f t="shared" si="55"/>
        <v>142.53359655938465</v>
      </c>
      <c r="P74" s="93">
        <f t="shared" si="55"/>
        <v>157.88433521362012</v>
      </c>
      <c r="Q74" s="93">
        <f t="shared" si="55"/>
        <v>175.07139709876211</v>
      </c>
      <c r="R74" s="80">
        <f t="shared" ref="R74:R79" si="56">RATE(12,,-E74,Q74)</f>
        <v>0.10270911663832198</v>
      </c>
      <c r="S74" s="66" t="s">
        <v>21</v>
      </c>
      <c r="T74" s="12">
        <v>0.25</v>
      </c>
      <c r="U74" s="12">
        <v>0.25155593539307364</v>
      </c>
      <c r="V74" s="12">
        <v>0.25312155452593693</v>
      </c>
      <c r="W74" s="12">
        <v>0.25469691766768382</v>
      </c>
      <c r="X74" s="12">
        <v>0.25628208546250747</v>
      </c>
      <c r="Y74" s="12">
        <v>0.2578771189320348</v>
      </c>
      <c r="Z74" s="12">
        <v>0.25948207947767565</v>
      </c>
      <c r="AA74" s="12">
        <v>0.2610970288829863</v>
      </c>
      <c r="AB74" s="12">
        <v>0.26272202931604799</v>
      </c>
      <c r="AC74" s="12">
        <v>0.26435714333185978</v>
      </c>
      <c r="AD74" s="12">
        <v>0.26600243387474731</v>
      </c>
      <c r="AE74" s="12">
        <v>0.26765796428078514</v>
      </c>
      <c r="AF74" s="12">
        <v>0.26932379828023517</v>
      </c>
      <c r="AG74" s="12">
        <v>0.27100000000000013</v>
      </c>
    </row>
    <row r="75" spans="1:33" x14ac:dyDescent="0.25">
      <c r="A75" s="112"/>
      <c r="B75" s="67" t="s">
        <v>22</v>
      </c>
      <c r="C75" s="48"/>
      <c r="D75" s="94">
        <f>D64*T75</f>
        <v>72.918846000000002</v>
      </c>
      <c r="E75" s="94">
        <f t="shared" ref="E75:Q75" si="57">E64*U75</f>
        <v>82.010846658874826</v>
      </c>
      <c r="F75" s="94">
        <f t="shared" si="57"/>
        <v>89.607258320075331</v>
      </c>
      <c r="G75" s="94">
        <f t="shared" si="57"/>
        <v>97.999688153908295</v>
      </c>
      <c r="H75" s="94">
        <f t="shared" si="57"/>
        <v>107.2803287133403</v>
      </c>
      <c r="I75" s="94">
        <f t="shared" si="57"/>
        <v>117.55300175794126</v>
      </c>
      <c r="J75" s="94">
        <f t="shared" si="57"/>
        <v>128.93473942817036</v>
      </c>
      <c r="K75" s="94">
        <f t="shared" si="57"/>
        <v>141.55759534875514</v>
      </c>
      <c r="L75" s="94">
        <f t="shared" si="57"/>
        <v>155.57072120228463</v>
      </c>
      <c r="M75" s="94">
        <f t="shared" si="57"/>
        <v>171.14275012495656</v>
      </c>
      <c r="N75" s="94">
        <f t="shared" si="57"/>
        <v>188.46453508799593</v>
      </c>
      <c r="O75" s="94">
        <f t="shared" si="57"/>
        <v>207.75229842152316</v>
      </c>
      <c r="P75" s="94">
        <f t="shared" si="57"/>
        <v>229.25125802775045</v>
      </c>
      <c r="Q75" s="94">
        <f t="shared" si="57"/>
        <v>253.23980687348606</v>
      </c>
      <c r="R75" s="81">
        <f t="shared" si="56"/>
        <v>9.8512635028688025E-2</v>
      </c>
      <c r="S75" s="67" t="s">
        <v>22</v>
      </c>
      <c r="T75" s="12">
        <v>0.38</v>
      </c>
      <c r="U75" s="12">
        <v>0.38090988938047371</v>
      </c>
      <c r="V75" s="12">
        <v>0.38182195744169661</v>
      </c>
      <c r="W75" s="12">
        <v>0.38273620940040159</v>
      </c>
      <c r="X75" s="12">
        <v>0.38365265048581265</v>
      </c>
      <c r="Y75" s="12">
        <v>0.38457128593967477</v>
      </c>
      <c r="Z75" s="12">
        <v>0.38549212101628438</v>
      </c>
      <c r="AA75" s="12">
        <v>0.38641516098251855</v>
      </c>
      <c r="AB75" s="12">
        <v>0.38734041111786593</v>
      </c>
      <c r="AC75" s="12">
        <v>0.38826787671445667</v>
      </c>
      <c r="AD75" s="12">
        <v>0.38919756307709236</v>
      </c>
      <c r="AE75" s="12">
        <v>0.39012947552327681</v>
      </c>
      <c r="AF75" s="12">
        <v>0.3910636193832463</v>
      </c>
      <c r="AG75" s="12">
        <v>0.39200000000000002</v>
      </c>
    </row>
    <row r="76" spans="1:33" x14ac:dyDescent="0.25">
      <c r="A76" s="112"/>
      <c r="B76" s="68" t="s">
        <v>23</v>
      </c>
      <c r="C76" s="48"/>
      <c r="D76" s="95">
        <f>D75*T76</f>
        <v>25.521596099999989</v>
      </c>
      <c r="E76" s="95">
        <f t="shared" ref="E76:Q76" si="58">E75*U76</f>
        <v>28.653432146974616</v>
      </c>
      <c r="F76" s="95">
        <f t="shared" si="58"/>
        <v>31.25257844223362</v>
      </c>
      <c r="G76" s="95">
        <f t="shared" si="58"/>
        <v>34.119657896813777</v>
      </c>
      <c r="H76" s="95">
        <f t="shared" si="58"/>
        <v>37.28527751060718</v>
      </c>
      <c r="I76" s="95">
        <f t="shared" si="58"/>
        <v>40.783859102458329</v>
      </c>
      <c r="J76" s="95">
        <f t="shared" si="58"/>
        <v>44.654152495883146</v>
      </c>
      <c r="K76" s="95">
        <f t="shared" si="58"/>
        <v>48.939822614553997</v>
      </c>
      <c r="L76" s="95">
        <f t="shared" si="58"/>
        <v>53.690121811706717</v>
      </c>
      <c r="M76" s="95">
        <f t="shared" si="58"/>
        <v>58.960660594034934</v>
      </c>
      <c r="N76" s="95">
        <f t="shared" si="58"/>
        <v>64.81429205092428</v>
      </c>
      <c r="O76" s="95">
        <f t="shared" si="58"/>
        <v>71.322127820389454</v>
      </c>
      <c r="P76" s="95">
        <f t="shared" si="58"/>
        <v>78.564706380739835</v>
      </c>
      <c r="Q76" s="95">
        <f t="shared" si="58"/>
        <v>86.633337931419533</v>
      </c>
      <c r="R76" s="81">
        <f t="shared" si="56"/>
        <v>9.6585165524835703E-2</v>
      </c>
      <c r="S76" s="68" t="s">
        <v>23</v>
      </c>
      <c r="T76" s="74">
        <v>0.34999999999999987</v>
      </c>
      <c r="U76" s="74">
        <v>0.34938588387166564</v>
      </c>
      <c r="V76" s="74">
        <v>0.34877284528224306</v>
      </c>
      <c r="W76" s="74">
        <v>0.34816088234106346</v>
      </c>
      <c r="X76" s="74">
        <v>0.34754999316077562</v>
      </c>
      <c r="Y76" s="74">
        <v>0.34694017585733994</v>
      </c>
      <c r="Z76" s="74">
        <v>0.34633142855002247</v>
      </c>
      <c r="AA76" s="74">
        <v>0.34572374936138933</v>
      </c>
      <c r="AB76" s="74">
        <v>0.34511713641730069</v>
      </c>
      <c r="AC76" s="74">
        <v>0.34451158784690528</v>
      </c>
      <c r="AD76" s="74">
        <v>0.34390710178263434</v>
      </c>
      <c r="AE76" s="74">
        <v>0.34330367636019604</v>
      </c>
      <c r="AF76" s="74">
        <v>0.34270130971856966</v>
      </c>
      <c r="AG76" s="74">
        <v>0.34209999999999979</v>
      </c>
    </row>
    <row r="77" spans="1:33" x14ac:dyDescent="0.25">
      <c r="A77" s="112"/>
      <c r="B77" s="68" t="s">
        <v>24</v>
      </c>
      <c r="C77" s="48"/>
      <c r="D77" s="95">
        <f>D75*T77</f>
        <v>20.417276880000003</v>
      </c>
      <c r="E77" s="95">
        <f t="shared" ref="E77:Q77" si="59">E75*U77</f>
        <v>23.043341126408713</v>
      </c>
      <c r="F77" s="95">
        <f t="shared" si="59"/>
        <v>25.265823932354888</v>
      </c>
      <c r="G77" s="95">
        <f t="shared" si="59"/>
        <v>27.728801049253455</v>
      </c>
      <c r="H77" s="95">
        <f t="shared" si="59"/>
        <v>30.460891929294487</v>
      </c>
      <c r="I77" s="95">
        <f t="shared" si="59"/>
        <v>33.494412608218788</v>
      </c>
      <c r="J77" s="95">
        <f t="shared" si="59"/>
        <v>36.865889043078525</v>
      </c>
      <c r="K77" s="95">
        <f t="shared" si="59"/>
        <v>40.616646539771715</v>
      </c>
      <c r="L77" s="95">
        <f t="shared" si="59"/>
        <v>44.793487239911492</v>
      </c>
      <c r="M77" s="95">
        <f t="shared" si="59"/>
        <v>49.449469625558365</v>
      </c>
      <c r="N77" s="95">
        <f t="shared" si="59"/>
        <v>54.644806337071806</v>
      </c>
      <c r="O77" s="95">
        <f t="shared" si="59"/>
        <v>60.447899347596618</v>
      </c>
      <c r="P77" s="95">
        <f t="shared" si="59"/>
        <v>66.936534773484055</v>
      </c>
      <c r="Q77" s="95">
        <f t="shared" si="59"/>
        <v>74.199263413931334</v>
      </c>
      <c r="R77" s="81">
        <f t="shared" si="56"/>
        <v>0.10235424476087041</v>
      </c>
      <c r="S77" s="68" t="s">
        <v>24</v>
      </c>
      <c r="T77" s="74">
        <v>0.28000000000000003</v>
      </c>
      <c r="U77" s="74">
        <v>0.28097918830490543</v>
      </c>
      <c r="V77" s="74">
        <v>0.28196180093029821</v>
      </c>
      <c r="W77" s="74">
        <v>0.28294784985137333</v>
      </c>
      <c r="X77" s="74">
        <v>0.28393734708520407</v>
      </c>
      <c r="Y77" s="74">
        <v>0.28493030469088876</v>
      </c>
      <c r="Z77" s="74">
        <v>0.28592673476969749</v>
      </c>
      <c r="AA77" s="74">
        <v>0.28692664946521995</v>
      </c>
      <c r="AB77" s="74">
        <v>0.28793006096351298</v>
      </c>
      <c r="AC77" s="74">
        <v>0.28893698149324931</v>
      </c>
      <c r="AD77" s="74">
        <v>0.28994742332586665</v>
      </c>
      <c r="AE77" s="74">
        <v>0.29096139877571725</v>
      </c>
      <c r="AF77" s="74">
        <v>0.29197892020021765</v>
      </c>
      <c r="AG77" s="74">
        <v>0.29299999999999965</v>
      </c>
    </row>
    <row r="78" spans="1:33" x14ac:dyDescent="0.25">
      <c r="A78" s="112"/>
      <c r="B78" s="68" t="s">
        <v>25</v>
      </c>
      <c r="C78" s="48"/>
      <c r="D78" s="95">
        <f>D75*T78</f>
        <v>26.97997302000001</v>
      </c>
      <c r="E78" s="95">
        <f t="shared" ref="E78:Q78" si="60">E75*U78</f>
        <v>30.314073385491501</v>
      </c>
      <c r="F78" s="95">
        <f t="shared" si="60"/>
        <v>33.08885594548682</v>
      </c>
      <c r="G78" s="95">
        <f t="shared" si="60"/>
        <v>36.151229207841062</v>
      </c>
      <c r="H78" s="95">
        <f t="shared" si="60"/>
        <v>39.534159273438625</v>
      </c>
      <c r="I78" s="95">
        <f t="shared" si="60"/>
        <v>43.274730047264143</v>
      </c>
      <c r="J78" s="95">
        <f t="shared" si="60"/>
        <v>47.414697889208689</v>
      </c>
      <c r="K78" s="95">
        <f t="shared" si="60"/>
        <v>52.001126194429439</v>
      </c>
      <c r="L78" s="95">
        <f t="shared" si="60"/>
        <v>57.087112150666428</v>
      </c>
      <c r="M78" s="95">
        <f t="shared" si="60"/>
        <v>62.732619905363265</v>
      </c>
      <c r="N78" s="95">
        <f t="shared" si="60"/>
        <v>69.005436699999834</v>
      </c>
      <c r="O78" s="95">
        <f t="shared" si="60"/>
        <v>75.982271253537078</v>
      </c>
      <c r="P78" s="95">
        <f t="shared" si="60"/>
        <v>83.750016873526576</v>
      </c>
      <c r="Q78" s="95">
        <f t="shared" si="60"/>
        <v>92.407205528135208</v>
      </c>
      <c r="R78" s="81">
        <f t="shared" si="56"/>
        <v>9.7333054876025407E-2</v>
      </c>
      <c r="S78" s="68" t="s">
        <v>25</v>
      </c>
      <c r="T78" s="74">
        <f>1-SUM(T76:T77)</f>
        <v>0.37000000000000011</v>
      </c>
      <c r="U78" s="74">
        <f t="shared" ref="U78:AG78" si="61">1-SUM(U76:U77)</f>
        <v>0.36963492782342899</v>
      </c>
      <c r="V78" s="74">
        <f t="shared" si="61"/>
        <v>0.36926535378745873</v>
      </c>
      <c r="W78" s="74">
        <f t="shared" si="61"/>
        <v>0.36889126780756321</v>
      </c>
      <c r="X78" s="74">
        <f t="shared" si="61"/>
        <v>0.36851265975402026</v>
      </c>
      <c r="Y78" s="74">
        <f t="shared" si="61"/>
        <v>0.3681295194517713</v>
      </c>
      <c r="Z78" s="74">
        <f t="shared" si="61"/>
        <v>0.36774183668028004</v>
      </c>
      <c r="AA78" s="74">
        <f t="shared" si="61"/>
        <v>0.36734960117339077</v>
      </c>
      <c r="AB78" s="74">
        <f t="shared" si="61"/>
        <v>0.36695280261918639</v>
      </c>
      <c r="AC78" s="74">
        <f t="shared" si="61"/>
        <v>0.36655143065984541</v>
      </c>
      <c r="AD78" s="74">
        <f t="shared" si="61"/>
        <v>0.36614547489149896</v>
      </c>
      <c r="AE78" s="74">
        <f t="shared" si="61"/>
        <v>0.36573492486408665</v>
      </c>
      <c r="AF78" s="74">
        <f t="shared" si="61"/>
        <v>0.36531977008121275</v>
      </c>
      <c r="AG78" s="74">
        <f t="shared" si="61"/>
        <v>0.36490000000000056</v>
      </c>
    </row>
    <row r="79" spans="1:33" ht="15.75" thickBot="1" x14ac:dyDescent="0.3">
      <c r="A79" s="111"/>
      <c r="B79" s="69" t="s">
        <v>26</v>
      </c>
      <c r="C79" s="58"/>
      <c r="D79" s="96">
        <f>D64*T79</f>
        <v>70.999928999999995</v>
      </c>
      <c r="E79" s="96">
        <f t="shared" ref="E79:Q79" si="62">E64*U79</f>
        <v>79.131022130762716</v>
      </c>
      <c r="F79" s="96">
        <f t="shared" si="62"/>
        <v>85.672681696234704</v>
      </c>
      <c r="G79" s="96">
        <f t="shared" si="62"/>
        <v>92.835325243799744</v>
      </c>
      <c r="H79" s="96">
        <f t="shared" si="62"/>
        <v>100.68461624546589</v>
      </c>
      <c r="I79" s="96">
        <f t="shared" si="62"/>
        <v>109.29381580834873</v>
      </c>
      <c r="J79" s="96">
        <f t="shared" si="62"/>
        <v>118.74473291155913</v>
      </c>
      <c r="K79" s="96">
        <f t="shared" si="62"/>
        <v>129.12880194844388</v>
      </c>
      <c r="L79" s="96">
        <f t="shared" si="62"/>
        <v>140.54830571473107</v>
      </c>
      <c r="M79" s="96">
        <f t="shared" si="62"/>
        <v>153.1177647168499</v>
      </c>
      <c r="N79" s="96">
        <f t="shared" si="62"/>
        <v>166.96551684199358</v>
      </c>
      <c r="O79" s="96">
        <f t="shared" si="62"/>
        <v>182.2355151044672</v>
      </c>
      <c r="P79" s="96">
        <f t="shared" si="62"/>
        <v>199.08937544609489</v>
      </c>
      <c r="Q79" s="96">
        <f t="shared" si="62"/>
        <v>217.70871152133867</v>
      </c>
      <c r="R79" s="82">
        <f t="shared" si="56"/>
        <v>8.7996302235579693E-2</v>
      </c>
      <c r="S79" s="69" t="s">
        <v>26</v>
      </c>
      <c r="T79" s="12">
        <f>1-SUM(T74+T75)</f>
        <v>0.37</v>
      </c>
      <c r="U79" s="12">
        <f t="shared" ref="U79:AG79" si="63">1-SUM(U74+U75)</f>
        <v>0.36753417522645271</v>
      </c>
      <c r="V79" s="12">
        <f t="shared" si="63"/>
        <v>0.36505648803236646</v>
      </c>
      <c r="W79" s="12">
        <f t="shared" si="63"/>
        <v>0.36256687293191459</v>
      </c>
      <c r="X79" s="12">
        <f t="shared" si="63"/>
        <v>0.36006526405167993</v>
      </c>
      <c r="Y79" s="12">
        <f t="shared" si="63"/>
        <v>0.35755159512829038</v>
      </c>
      <c r="Z79" s="12">
        <f t="shared" si="63"/>
        <v>0.35502579950603996</v>
      </c>
      <c r="AA79" s="12">
        <f t="shared" si="63"/>
        <v>0.35248781013449515</v>
      </c>
      <c r="AB79" s="12">
        <f t="shared" si="63"/>
        <v>0.34993755956608608</v>
      </c>
      <c r="AC79" s="12">
        <f t="shared" si="63"/>
        <v>0.3473749799536836</v>
      </c>
      <c r="AD79" s="12">
        <f t="shared" si="63"/>
        <v>0.34480000304816039</v>
      </c>
      <c r="AE79" s="12">
        <f t="shared" si="63"/>
        <v>0.34221256019593804</v>
      </c>
      <c r="AF79" s="12">
        <f t="shared" si="63"/>
        <v>0.33961258233651859</v>
      </c>
      <c r="AG79" s="12">
        <f t="shared" si="63"/>
        <v>0.33699999999999986</v>
      </c>
    </row>
    <row r="80" spans="1:33" ht="15.75" thickBot="1" x14ac:dyDescent="0.3">
      <c r="A80" s="2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21"/>
    </row>
    <row r="81" spans="1:33" x14ac:dyDescent="0.25">
      <c r="A81" s="113" t="s">
        <v>27</v>
      </c>
      <c r="B81" s="61" t="s">
        <v>28</v>
      </c>
      <c r="C81" s="56"/>
      <c r="D81" s="91">
        <f>D64*T81</f>
        <v>76.948571699999988</v>
      </c>
      <c r="E81" s="91">
        <f t="shared" ref="E81:Q81" si="64">E64*U81</f>
        <v>86.691741471669147</v>
      </c>
      <c r="F81" s="91">
        <f t="shared" si="64"/>
        <v>94.884500792759582</v>
      </c>
      <c r="G81" s="91">
        <f t="shared" si="64"/>
        <v>103.94950770187756</v>
      </c>
      <c r="H81" s="91">
        <f t="shared" si="64"/>
        <v>113.98914454822845</v>
      </c>
      <c r="I81" s="91">
        <f t="shared" si="64"/>
        <v>125.11885980890553</v>
      </c>
      <c r="J81" s="91">
        <f t="shared" si="64"/>
        <v>137.4689632069904</v>
      </c>
      <c r="K81" s="91">
        <f t="shared" si="64"/>
        <v>151.18668433910312</v>
      </c>
      <c r="L81" s="91">
        <f t="shared" si="64"/>
        <v>166.43853589703662</v>
      </c>
      <c r="M81" s="91">
        <f t="shared" si="64"/>
        <v>183.4130293390613</v>
      </c>
      <c r="N81" s="91">
        <f t="shared" si="64"/>
        <v>202.32379881224622</v>
      </c>
      <c r="O81" s="91">
        <f t="shared" si="64"/>
        <v>223.41319846159286</v>
      </c>
      <c r="P81" s="91">
        <f t="shared" si="64"/>
        <v>246.95644923952662</v>
      </c>
      <c r="Q81" s="91">
        <f t="shared" si="64"/>
        <v>273.26642425378685</v>
      </c>
      <c r="R81" s="78">
        <f>RATE(12,,-E81,Q81)</f>
        <v>0.10040033069889273</v>
      </c>
      <c r="S81" s="61" t="s">
        <v>28</v>
      </c>
      <c r="T81" s="12">
        <v>0.40099999999999997</v>
      </c>
      <c r="U81" s="12">
        <v>0.40265090533119946</v>
      </c>
      <c r="V81" s="12">
        <v>0.40430860739160734</v>
      </c>
      <c r="W81" s="12">
        <v>0.40597313416316017</v>
      </c>
      <c r="X81" s="12">
        <v>0.40764451374299493</v>
      </c>
      <c r="Y81" s="12">
        <v>0.40932277434392395</v>
      </c>
      <c r="Z81" s="12">
        <v>0.41100794429491083</v>
      </c>
      <c r="AA81" s="12">
        <v>0.4127000520415488</v>
      </c>
      <c r="AB81" s="12">
        <v>0.41439912614654062</v>
      </c>
      <c r="AC81" s="12">
        <v>0.41610519529018092</v>
      </c>
      <c r="AD81" s="12">
        <v>0.41781828827084017</v>
      </c>
      <c r="AE81" s="12">
        <v>0.4195384340054511</v>
      </c>
      <c r="AF81" s="12">
        <v>0.4212656615299965</v>
      </c>
      <c r="AG81" s="12">
        <v>0.42299999999999938</v>
      </c>
    </row>
    <row r="82" spans="1:33" x14ac:dyDescent="0.25">
      <c r="A82" s="114"/>
      <c r="B82" s="62" t="s">
        <v>29</v>
      </c>
      <c r="C82" s="47"/>
      <c r="D82" s="97">
        <f>D64*T82</f>
        <v>82.705322699999996</v>
      </c>
      <c r="E82" s="97">
        <f t="shared" ref="E82:Q82" si="65">E64*U82</f>
        <v>92.975439603414401</v>
      </c>
      <c r="F82" s="97">
        <f t="shared" si="65"/>
        <v>101.54146057447721</v>
      </c>
      <c r="G82" s="97">
        <f t="shared" si="65"/>
        <v>111.00132977897815</v>
      </c>
      <c r="H82" s="97">
        <f t="shared" si="65"/>
        <v>121.45820398415484</v>
      </c>
      <c r="I82" s="97">
        <f t="shared" si="65"/>
        <v>133.02821211095744</v>
      </c>
      <c r="J82" s="97">
        <f t="shared" si="65"/>
        <v>145.8422141642753</v>
      </c>
      <c r="K82" s="97">
        <f t="shared" si="65"/>
        <v>160.04781530591637</v>
      </c>
      <c r="L82" s="97">
        <f t="shared" si="65"/>
        <v>175.81167441916986</v>
      </c>
      <c r="M82" s="97">
        <f t="shared" si="65"/>
        <v>193.32215293362381</v>
      </c>
      <c r="N82" s="97">
        <f t="shared" si="65"/>
        <v>212.79235720222934</v>
      </c>
      <c r="O82" s="97">
        <f t="shared" si="65"/>
        <v>234.4636365485369</v>
      </c>
      <c r="P82" s="97">
        <f t="shared" si="65"/>
        <v>258.60960946731336</v>
      </c>
      <c r="Q82" s="97">
        <f t="shared" si="65"/>
        <v>285.54080264816554</v>
      </c>
      <c r="R82" s="83">
        <f>RATE(12,,-E82,Q82)</f>
        <v>9.8015138807080973E-2</v>
      </c>
      <c r="S82" s="62" t="s">
        <v>29</v>
      </c>
      <c r="T82" s="12">
        <v>0.43099999999999999</v>
      </c>
      <c r="U82" s="12">
        <v>0.43183634674261745</v>
      </c>
      <c r="V82" s="12">
        <v>0.43267431639909548</v>
      </c>
      <c r="W82" s="12">
        <v>0.43351391211866536</v>
      </c>
      <c r="X82" s="12">
        <v>0.43435513705666956</v>
      </c>
      <c r="Y82" s="12">
        <v>0.43519799437457324</v>
      </c>
      <c r="Z82" s="12">
        <v>0.43604248723997657</v>
      </c>
      <c r="AA82" s="12">
        <v>0.43688861882662616</v>
      </c>
      <c r="AB82" s="12">
        <v>0.43773639231442729</v>
      </c>
      <c r="AC82" s="12">
        <v>0.43858581088945586</v>
      </c>
      <c r="AD82" s="12">
        <v>0.43943687774397006</v>
      </c>
      <c r="AE82" s="12">
        <v>0.44028959607642287</v>
      </c>
      <c r="AF82" s="12">
        <v>0.44114396909147369</v>
      </c>
      <c r="AG82" s="12">
        <v>0.44200000000000028</v>
      </c>
    </row>
    <row r="83" spans="1:33" ht="15.75" thickBot="1" x14ac:dyDescent="0.3">
      <c r="A83" s="115"/>
      <c r="B83" s="63" t="s">
        <v>30</v>
      </c>
      <c r="C83" s="51"/>
      <c r="D83" s="92">
        <f>D64*T83</f>
        <v>32.237805600000002</v>
      </c>
      <c r="E83" s="92">
        <f t="shared" ref="E83:Q83" si="66">E64*U83</f>
        <v>35.635306324916407</v>
      </c>
      <c r="F83" s="92">
        <f t="shared" si="66"/>
        <v>38.257394510111254</v>
      </c>
      <c r="G83" s="92">
        <f t="shared" si="66"/>
        <v>41.099376078597132</v>
      </c>
      <c r="H83" s="92">
        <f t="shared" si="66"/>
        <v>44.181447404496325</v>
      </c>
      <c r="I83" s="92">
        <f t="shared" si="66"/>
        <v>47.525780047512058</v>
      </c>
      <c r="J83" s="92">
        <f t="shared" si="66"/>
        <v>51.156720670997402</v>
      </c>
      <c r="K83" s="92">
        <f t="shared" si="66"/>
        <v>55.101011075687452</v>
      </c>
      <c r="L83" s="92">
        <f t="shared" si="66"/>
        <v>59.388030200208817</v>
      </c>
      <c r="M83" s="92">
        <f t="shared" si="66"/>
        <v>64.050060053246042</v>
      </c>
      <c r="N83" s="92">
        <f t="shared" si="66"/>
        <v>69.122577645490367</v>
      </c>
      <c r="O83" s="92">
        <f t="shared" si="66"/>
        <v>74.644575075245271</v>
      </c>
      <c r="P83" s="92">
        <f t="shared" si="66"/>
        <v>80.658909980625467</v>
      </c>
      <c r="Q83" s="92">
        <f t="shared" si="66"/>
        <v>87.212688591634446</v>
      </c>
      <c r="R83" s="79">
        <f>RATE(12,,-E83,Q83)</f>
        <v>7.7436287392128225E-2</v>
      </c>
      <c r="S83" s="63" t="s">
        <v>30</v>
      </c>
      <c r="T83" s="12">
        <f>1-SUM(T81:T82)</f>
        <v>0.16800000000000004</v>
      </c>
      <c r="U83" s="12">
        <f t="shared" ref="U83:AG83" si="67">1-SUM(U81:U82)</f>
        <v>0.16551274792618309</v>
      </c>
      <c r="V83" s="12">
        <f t="shared" si="67"/>
        <v>0.16301707620929717</v>
      </c>
      <c r="W83" s="12">
        <f t="shared" si="67"/>
        <v>0.16051295371817442</v>
      </c>
      <c r="X83" s="12">
        <f t="shared" si="67"/>
        <v>0.15800034920033545</v>
      </c>
      <c r="Y83" s="12">
        <f t="shared" si="67"/>
        <v>0.15547923128150276</v>
      </c>
      <c r="Z83" s="12">
        <f t="shared" si="67"/>
        <v>0.15294956846511254</v>
      </c>
      <c r="AA83" s="12">
        <f t="shared" si="67"/>
        <v>0.15041132913182498</v>
      </c>
      <c r="AB83" s="12">
        <f t="shared" si="67"/>
        <v>0.14786448153903209</v>
      </c>
      <c r="AC83" s="12">
        <f t="shared" si="67"/>
        <v>0.14530899382036322</v>
      </c>
      <c r="AD83" s="12">
        <f t="shared" si="67"/>
        <v>0.14274483398518978</v>
      </c>
      <c r="AE83" s="12">
        <f t="shared" si="67"/>
        <v>0.14017196991812608</v>
      </c>
      <c r="AF83" s="12">
        <f t="shared" si="67"/>
        <v>0.13759036937852986</v>
      </c>
      <c r="AG83" s="12">
        <f t="shared" si="67"/>
        <v>0.13500000000000034</v>
      </c>
    </row>
    <row r="86" spans="1:33" ht="26.25" x14ac:dyDescent="0.4">
      <c r="A86" s="109" t="s">
        <v>67</v>
      </c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70"/>
    </row>
    <row r="87" spans="1:33" ht="24" thickBot="1" x14ac:dyDescent="0.4">
      <c r="A87" s="70"/>
      <c r="B87" s="70"/>
      <c r="C87" s="70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 spans="1:33" ht="15.75" x14ac:dyDescent="0.25">
      <c r="A88" s="49"/>
      <c r="B88" s="50"/>
      <c r="C88" s="100"/>
      <c r="D88" s="98">
        <v>2023</v>
      </c>
      <c r="E88" s="72">
        <v>2024</v>
      </c>
      <c r="F88" s="72">
        <v>2025</v>
      </c>
      <c r="G88" s="72">
        <v>2026</v>
      </c>
      <c r="H88" s="72">
        <v>2027</v>
      </c>
      <c r="I88" s="72">
        <v>2028</v>
      </c>
      <c r="J88" s="72">
        <v>2029</v>
      </c>
      <c r="K88" s="72">
        <v>2030</v>
      </c>
      <c r="L88" s="72">
        <v>2031</v>
      </c>
      <c r="M88" s="72">
        <v>2032</v>
      </c>
      <c r="N88" s="72">
        <v>2033</v>
      </c>
      <c r="O88" s="72">
        <v>2034</v>
      </c>
      <c r="P88" s="72">
        <v>2035</v>
      </c>
      <c r="Q88" s="72">
        <v>2036</v>
      </c>
      <c r="R88" s="73" t="s">
        <v>13</v>
      </c>
    </row>
    <row r="89" spans="1:33" ht="16.5" thickBot="1" x14ac:dyDescent="0.3">
      <c r="A89" s="26"/>
      <c r="B89" s="101"/>
      <c r="C89" s="102"/>
      <c r="D89" s="99">
        <f>'Market Analysis'!C50</f>
        <v>191.89169999999999</v>
      </c>
      <c r="E89" s="99">
        <f>'Market Analysis'!D50</f>
        <v>221.0592384</v>
      </c>
      <c r="F89" s="99">
        <f>'Market Analysis'!E50</f>
        <v>254.00481116428205</v>
      </c>
      <c r="G89" s="99">
        <f>'Market Analysis'!F50</f>
        <v>291.12200546972906</v>
      </c>
      <c r="H89" s="99">
        <f>'Market Analysis'!G50</f>
        <v>332.83323932096545</v>
      </c>
      <c r="I89" s="99">
        <f>'Market Analysis'!H50</f>
        <v>379.59054731455228</v>
      </c>
      <c r="J89" s="99">
        <f>'Market Analysis'!I50</f>
        <v>431.87625626974045</v>
      </c>
      <c r="K89" s="99">
        <f>'Market Analysis'!J50</f>
        <v>490.20353905667724</v>
      </c>
      <c r="L89" s="99">
        <f>'Market Analysis'!K50</f>
        <v>555.11683550604778</v>
      </c>
      <c r="M89" s="99">
        <f>'Market Analysis'!L50</f>
        <v>627.19212997964826</v>
      </c>
      <c r="N89" s="99">
        <f>'Market Analysis'!M50</f>
        <v>707.03707601375072</v>
      </c>
      <c r="O89" s="99">
        <f>'Market Analysis'!N50</f>
        <v>795.29095940861134</v>
      </c>
      <c r="P89" s="99">
        <f>'Market Analysis'!O50</f>
        <v>892.62449221839313</v>
      </c>
      <c r="Q89" s="99">
        <f>'Market Analysis'!P50</f>
        <v>999.73943128460041</v>
      </c>
      <c r="R89" s="75">
        <f>RATE(12,,-E89,Q89)</f>
        <v>0.13400467775848604</v>
      </c>
      <c r="T89" s="72">
        <v>2023</v>
      </c>
      <c r="U89" s="72">
        <v>2024</v>
      </c>
      <c r="V89" s="72">
        <v>2025</v>
      </c>
      <c r="W89" s="72">
        <v>2026</v>
      </c>
      <c r="X89" s="72">
        <v>2027</v>
      </c>
      <c r="Y89" s="72">
        <v>2028</v>
      </c>
      <c r="Z89" s="72">
        <v>2029</v>
      </c>
      <c r="AA89" s="72">
        <v>2030</v>
      </c>
      <c r="AB89" s="72">
        <v>2031</v>
      </c>
      <c r="AC89" s="72">
        <v>2032</v>
      </c>
      <c r="AD89" s="72">
        <v>2033</v>
      </c>
      <c r="AE89" s="72">
        <v>2034</v>
      </c>
      <c r="AF89" s="72">
        <v>2035</v>
      </c>
      <c r="AG89" s="72">
        <v>2036</v>
      </c>
    </row>
    <row r="90" spans="1:33" x14ac:dyDescent="0.25">
      <c r="A90" s="110" t="s">
        <v>51</v>
      </c>
      <c r="B90" s="59" t="s">
        <v>34</v>
      </c>
      <c r="C90" s="52"/>
      <c r="D90" s="86">
        <f>D89*T90</f>
        <v>107.459352</v>
      </c>
      <c r="E90" s="86">
        <f t="shared" ref="E90" si="68">E89*U90</f>
        <v>123.99690472154538</v>
      </c>
      <c r="F90" s="86">
        <f t="shared" ref="F90" si="69">F89*V90</f>
        <v>142.71126812606789</v>
      </c>
      <c r="G90" s="86">
        <f t="shared" ref="G90" si="70">G89*W90</f>
        <v>163.83455452058627</v>
      </c>
      <c r="H90" s="86">
        <f t="shared" ref="H90" si="71">H89*X90</f>
        <v>187.61662092598564</v>
      </c>
      <c r="I90" s="86">
        <f t="shared" ref="I90" si="72">I89*Y90</f>
        <v>214.32565256333629</v>
      </c>
      <c r="J90" s="86">
        <f t="shared" ref="J90" si="73">J89*Z90</f>
        <v>244.24868911511024</v>
      </c>
      <c r="K90" s="86">
        <f t="shared" ref="K90" si="74">K89*AA90</f>
        <v>277.69208646122058</v>
      </c>
      <c r="L90" s="86">
        <f t="shared" ref="L90" si="75">L89*AB90</f>
        <v>314.9819068120072</v>
      </c>
      <c r="M90" s="86">
        <f t="shared" ref="M90" si="76">M89*AC90</f>
        <v>356.46423046741091</v>
      </c>
      <c r="N90" s="86">
        <f t="shared" ref="N90" si="77">N89*AD90</f>
        <v>402.50538282182856</v>
      </c>
      <c r="O90" s="86">
        <f t="shared" ref="O90" si="78">O89*AE90</f>
        <v>453.49207070442714</v>
      </c>
      <c r="P90" s="86">
        <f t="shared" ref="P90" si="79">P89*AF90</f>
        <v>509.83142269075557</v>
      </c>
      <c r="Q90" s="86">
        <f t="shared" ref="Q90" si="80">Q89*AG90</f>
        <v>571.95092863791899</v>
      </c>
      <c r="R90" s="84">
        <f>RATE(12,,-E90,Q90)</f>
        <v>0.1358709531528593</v>
      </c>
      <c r="S90" s="59" t="s">
        <v>34</v>
      </c>
      <c r="T90" s="12">
        <v>0.56000000000000005</v>
      </c>
      <c r="U90" s="12">
        <v>0.56092161367703952</v>
      </c>
      <c r="V90" s="12">
        <v>0.56184474408938223</v>
      </c>
      <c r="W90" s="12">
        <v>0.56276939373317769</v>
      </c>
      <c r="X90" s="12">
        <v>0.56369556510868446</v>
      </c>
      <c r="Y90" s="12">
        <v>0.56462326072027491</v>
      </c>
      <c r="Z90" s="12">
        <v>0.56555248307644368</v>
      </c>
      <c r="AA90" s="12">
        <v>0.56648323468981299</v>
      </c>
      <c r="AB90" s="12">
        <v>0.56741551807714108</v>
      </c>
      <c r="AC90" s="12">
        <v>0.56834933575932756</v>
      </c>
      <c r="AD90" s="12">
        <v>0.56928469026142059</v>
      </c>
      <c r="AE90" s="12">
        <v>0.57022158411262425</v>
      </c>
      <c r="AF90" s="12">
        <v>0.57116001984630527</v>
      </c>
      <c r="AG90" s="12">
        <v>0.57209999999999905</v>
      </c>
    </row>
    <row r="91" spans="1:33" ht="15.75" thickBot="1" x14ac:dyDescent="0.3">
      <c r="A91" s="111"/>
      <c r="B91" s="60" t="s">
        <v>35</v>
      </c>
      <c r="C91" s="53"/>
      <c r="D91" s="87">
        <f>D89*T91</f>
        <v>84.43234799999999</v>
      </c>
      <c r="E91" s="87">
        <f t="shared" ref="E91" si="81">E89*U91</f>
        <v>97.062333678454621</v>
      </c>
      <c r="F91" s="87">
        <f t="shared" ref="F91" si="82">F89*V91</f>
        <v>111.29354303821414</v>
      </c>
      <c r="G91" s="87">
        <f t="shared" ref="G91" si="83">G89*W91</f>
        <v>127.28745094914279</v>
      </c>
      <c r="H91" s="87">
        <f t="shared" ref="H91" si="84">H89*X91</f>
        <v>145.2166183949798</v>
      </c>
      <c r="I91" s="87">
        <f t="shared" ref="I91" si="85">I89*Y91</f>
        <v>165.26489475121599</v>
      </c>
      <c r="J91" s="87">
        <f t="shared" ref="J91" si="86">J89*Z91</f>
        <v>187.62756715463021</v>
      </c>
      <c r="K91" s="87">
        <f t="shared" ref="K91" si="87">K89*AA91</f>
        <v>212.51145259545663</v>
      </c>
      <c r="L91" s="87">
        <f t="shared" ref="L91" si="88">L89*AB91</f>
        <v>240.13492869404058</v>
      </c>
      <c r="M91" s="87">
        <f t="shared" ref="M91" si="89">M89*AC91</f>
        <v>270.72789951223734</v>
      </c>
      <c r="N91" s="87">
        <f t="shared" ref="N91" si="90">N89*AD91</f>
        <v>304.53169319192216</v>
      </c>
      <c r="O91" s="87">
        <f t="shared" ref="O91" si="91">O89*AE91</f>
        <v>341.79888870418421</v>
      </c>
      <c r="P91" s="87">
        <f t="shared" ref="P91" si="92">P89*AF91</f>
        <v>382.79306952763756</v>
      </c>
      <c r="Q91" s="87">
        <f t="shared" ref="Q91" si="93">Q89*AG91</f>
        <v>427.78850264668148</v>
      </c>
      <c r="R91" s="85">
        <f>RATE(12,,-E91,Q91)</f>
        <v>0.1315702777898097</v>
      </c>
      <c r="S91" s="60" t="s">
        <v>35</v>
      </c>
      <c r="T91" s="12">
        <f>1-T90</f>
        <v>0.43999999999999995</v>
      </c>
      <c r="U91" s="12">
        <f t="shared" ref="U91" si="94">1-U90</f>
        <v>0.43907838632296048</v>
      </c>
      <c r="V91" s="12">
        <f t="shared" ref="V91" si="95">1-V90</f>
        <v>0.43815525591061777</v>
      </c>
      <c r="W91" s="12">
        <f t="shared" ref="W91" si="96">1-W90</f>
        <v>0.43723060626682231</v>
      </c>
      <c r="X91" s="12">
        <f t="shared" ref="X91" si="97">1-X90</f>
        <v>0.43630443489131554</v>
      </c>
      <c r="Y91" s="12">
        <f t="shared" ref="Y91" si="98">1-Y90</f>
        <v>0.43537673927972509</v>
      </c>
      <c r="Z91" s="12">
        <f t="shared" ref="Z91" si="99">1-Z90</f>
        <v>0.43444751692355632</v>
      </c>
      <c r="AA91" s="12">
        <f t="shared" ref="AA91" si="100">1-AA90</f>
        <v>0.43351676531018701</v>
      </c>
      <c r="AB91" s="12">
        <f t="shared" ref="AB91" si="101">1-AB90</f>
        <v>0.43258448192285892</v>
      </c>
      <c r="AC91" s="12">
        <f t="shared" ref="AC91" si="102">1-AC90</f>
        <v>0.43165066424067244</v>
      </c>
      <c r="AD91" s="12">
        <f t="shared" ref="AD91" si="103">1-AD90</f>
        <v>0.43071530973857941</v>
      </c>
      <c r="AE91" s="12">
        <f t="shared" ref="AE91" si="104">1-AE90</f>
        <v>0.42977841588737575</v>
      </c>
      <c r="AF91" s="12">
        <f t="shared" ref="AF91" si="105">1-AF90</f>
        <v>0.42883998015369473</v>
      </c>
      <c r="AG91" s="12">
        <f t="shared" ref="AG91" si="106">1-AG90</f>
        <v>0.42790000000000095</v>
      </c>
    </row>
    <row r="92" spans="1:33" ht="15.75" thickBot="1" x14ac:dyDescent="0.3">
      <c r="A92" s="1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21"/>
    </row>
    <row r="93" spans="1:33" x14ac:dyDescent="0.25">
      <c r="A93" s="110" t="s">
        <v>15</v>
      </c>
      <c r="B93" s="64" t="s">
        <v>16</v>
      </c>
      <c r="C93" s="54"/>
      <c r="D93" s="89">
        <f>D89*T93</f>
        <v>90.380990699999984</v>
      </c>
      <c r="E93" s="89">
        <f t="shared" ref="E93" si="107">E89*U93</f>
        <v>103.98286483199999</v>
      </c>
      <c r="F93" s="89">
        <f t="shared" ref="F93" si="108">F89*V93</f>
        <v>119.32364475232848</v>
      </c>
      <c r="G93" s="89">
        <f t="shared" ref="G93" si="109">G89*W93</f>
        <v>136.58100856614442</v>
      </c>
      <c r="H93" s="89">
        <f t="shared" ref="H93" si="110">H89*X93</f>
        <v>155.94517390030774</v>
      </c>
      <c r="I93" s="89">
        <f t="shared" ref="I93" si="111">I89*Y93</f>
        <v>177.61917687034011</v>
      </c>
      <c r="J93" s="89">
        <f t="shared" ref="J93" si="112">J89*Z93</f>
        <v>201.81909667989791</v>
      </c>
      <c r="K93" s="89">
        <f t="shared" ref="K93" si="113">K89*AA93</f>
        <v>228.77422088129697</v>
      </c>
      <c r="L93" s="89">
        <f t="shared" ref="L93" si="114">L89*AB93</f>
        <v>258.7271466408572</v>
      </c>
      <c r="M93" s="89">
        <f t="shared" ref="M93" si="115">M89*AC93</f>
        <v>291.93381373129625</v>
      </c>
      <c r="N93" s="89">
        <f t="shared" ref="N93" si="116">N89*AD93</f>
        <v>328.66346541162272</v>
      </c>
      <c r="O93" s="89">
        <f t="shared" ref="O93" si="117">O89*AE93</f>
        <v>369.1985338485361</v>
      </c>
      <c r="P93" s="89">
        <f t="shared" ref="P93" si="118">P89*AF93</f>
        <v>413.83444727694268</v>
      </c>
      <c r="Q93" s="89">
        <f t="shared" ref="Q93" si="119">Q89*AG93</f>
        <v>462.87935668476996</v>
      </c>
      <c r="R93" s="76">
        <f>RATE(12,,-E93,Q93)</f>
        <v>0.13251032340556781</v>
      </c>
      <c r="S93" s="64" t="s">
        <v>16</v>
      </c>
      <c r="T93" s="12">
        <v>0.47099999999999992</v>
      </c>
      <c r="U93" s="12">
        <v>0.47038461538461535</v>
      </c>
      <c r="V93" s="12">
        <v>0.46976923076923072</v>
      </c>
      <c r="W93" s="12">
        <v>0.46915384615384609</v>
      </c>
      <c r="X93" s="12">
        <v>0.46853846153846151</v>
      </c>
      <c r="Y93" s="12">
        <v>0.46792307692307689</v>
      </c>
      <c r="Z93" s="12">
        <v>0.46730769230769226</v>
      </c>
      <c r="AA93" s="12">
        <v>0.46669230769230763</v>
      </c>
      <c r="AB93" s="12">
        <v>0.46607692307692306</v>
      </c>
      <c r="AC93" s="12">
        <v>0.46546153846153843</v>
      </c>
      <c r="AD93" s="12">
        <v>0.4648461538461538</v>
      </c>
      <c r="AE93" s="12">
        <v>0.46423076923076922</v>
      </c>
      <c r="AF93" s="12">
        <v>0.4636153846153846</v>
      </c>
      <c r="AG93" s="12">
        <v>0.46299999999999997</v>
      </c>
    </row>
    <row r="94" spans="1:33" ht="15.75" thickBot="1" x14ac:dyDescent="0.3">
      <c r="A94" s="111"/>
      <c r="B94" s="65" t="s">
        <v>17</v>
      </c>
      <c r="C94" s="55"/>
      <c r="D94" s="90">
        <f>D89*T94</f>
        <v>101.51070930000002</v>
      </c>
      <c r="E94" s="90">
        <f t="shared" ref="E94" si="120">E89*U94</f>
        <v>117.07637356799999</v>
      </c>
      <c r="F94" s="90">
        <f t="shared" ref="F94" si="121">F89*V94</f>
        <v>134.68116641195357</v>
      </c>
      <c r="G94" s="90">
        <f t="shared" ref="G94" si="122">G89*W94</f>
        <v>154.54099690358467</v>
      </c>
      <c r="H94" s="90">
        <f t="shared" ref="H94" si="123">H89*X94</f>
        <v>176.88806542065771</v>
      </c>
      <c r="I94" s="90">
        <f t="shared" ref="I94" si="124">I89*Y94</f>
        <v>201.97137044421217</v>
      </c>
      <c r="J94" s="90">
        <f t="shared" ref="J94" si="125">J89*Z94</f>
        <v>230.05715958984257</v>
      </c>
      <c r="K94" s="90">
        <f t="shared" ref="K94" si="126">K89*AA94</f>
        <v>261.42931817538027</v>
      </c>
      <c r="L94" s="90">
        <f t="shared" ref="L94" si="127">L89*AB94</f>
        <v>296.38968886519058</v>
      </c>
      <c r="M94" s="90">
        <f t="shared" ref="M94" si="128">M89*AC94</f>
        <v>335.25831624835206</v>
      </c>
      <c r="N94" s="90">
        <f t="shared" ref="N94" si="129">N89*AD94</f>
        <v>378.373610602128</v>
      </c>
      <c r="O94" s="90">
        <f t="shared" ref="O94" si="130">O89*AE94</f>
        <v>426.09242556007524</v>
      </c>
      <c r="P94" s="90">
        <f t="shared" ref="P94" si="131">P89*AF94</f>
        <v>478.79004494145045</v>
      </c>
      <c r="Q94" s="90">
        <f t="shared" ref="Q94" si="132">Q89*AG94</f>
        <v>536.86007459983045</v>
      </c>
      <c r="R94" s="77">
        <f>RATE(12,,-E94,Q94)</f>
        <v>0.13531398378453488</v>
      </c>
      <c r="S94" s="65" t="s">
        <v>17</v>
      </c>
      <c r="T94" s="12">
        <f>1-T93</f>
        <v>0.52900000000000014</v>
      </c>
      <c r="U94" s="12">
        <f t="shared" ref="U94" si="133">1-U93</f>
        <v>0.5296153846153846</v>
      </c>
      <c r="V94" s="12">
        <f t="shared" ref="V94" si="134">1-V93</f>
        <v>0.53023076923076928</v>
      </c>
      <c r="W94" s="12">
        <f t="shared" ref="W94" si="135">1-W93</f>
        <v>0.53084615384615397</v>
      </c>
      <c r="X94" s="12">
        <f t="shared" ref="X94" si="136">1-X93</f>
        <v>0.53146153846153843</v>
      </c>
      <c r="Y94" s="12">
        <f t="shared" ref="Y94" si="137">1-Y93</f>
        <v>0.53207692307692311</v>
      </c>
      <c r="Z94" s="12">
        <f t="shared" ref="Z94" si="138">1-Z93</f>
        <v>0.5326923076923078</v>
      </c>
      <c r="AA94" s="12">
        <f t="shared" ref="AA94" si="139">1-AA93</f>
        <v>0.53330769230769237</v>
      </c>
      <c r="AB94" s="12">
        <f t="shared" ref="AB94" si="140">1-AB93</f>
        <v>0.53392307692307694</v>
      </c>
      <c r="AC94" s="12">
        <f t="shared" ref="AC94" si="141">1-AC93</f>
        <v>0.53453846153846163</v>
      </c>
      <c r="AD94" s="12">
        <f t="shared" ref="AD94" si="142">1-AD93</f>
        <v>0.5351538461538462</v>
      </c>
      <c r="AE94" s="12">
        <f t="shared" ref="AE94" si="143">1-AE93</f>
        <v>0.53576923076923078</v>
      </c>
      <c r="AF94" s="12">
        <f t="shared" ref="AF94" si="144">1-AF93</f>
        <v>0.53638461538461546</v>
      </c>
      <c r="AG94" s="12">
        <f t="shared" ref="AG94" si="145">1-AG93</f>
        <v>0.53700000000000003</v>
      </c>
    </row>
    <row r="95" spans="1:33" ht="15.75" thickBot="1" x14ac:dyDescent="0.3">
      <c r="A95" s="1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21"/>
    </row>
    <row r="96" spans="1:33" x14ac:dyDescent="0.25">
      <c r="A96" s="110" t="s">
        <v>18</v>
      </c>
      <c r="B96" s="61" t="s">
        <v>19</v>
      </c>
      <c r="C96" s="56"/>
      <c r="D96" s="91">
        <f>D89*T96</f>
        <v>76.948571699999988</v>
      </c>
      <c r="E96" s="91">
        <f t="shared" ref="E96" si="146">E89*U96</f>
        <v>89.009702473585449</v>
      </c>
      <c r="F96" s="91">
        <f t="shared" ref="F96" si="147">F89*V96</f>
        <v>102.69633147259907</v>
      </c>
      <c r="G96" s="91">
        <f t="shared" ref="G96" si="148">G89*W96</f>
        <v>118.18771298441057</v>
      </c>
      <c r="H96" s="91">
        <f t="shared" ref="H96" si="149">H89*X96</f>
        <v>135.67764400050081</v>
      </c>
      <c r="I96" s="91">
        <f t="shared" ref="I96" si="150">I89*Y96</f>
        <v>155.37505594152108</v>
      </c>
      <c r="J96" s="91">
        <f t="shared" ref="J96" si="151">J89*Z96</f>
        <v>177.50457227920811</v>
      </c>
      <c r="K96" s="91">
        <f t="shared" ref="K96" si="152">K89*AA96</f>
        <v>202.3070260796421</v>
      </c>
      <c r="L96" s="91">
        <f t="shared" ref="L96" si="153">L89*AB96</f>
        <v>230.03993154293914</v>
      </c>
      <c r="M96" s="91">
        <f t="shared" ref="M96" si="154">M89*AC96</f>
        <v>260.97790372964607</v>
      </c>
      <c r="N96" s="91">
        <f t="shared" ref="N96" si="155">N89*AD96</f>
        <v>295.41302084408522</v>
      </c>
      <c r="O96" s="91">
        <f t="shared" ref="O96" si="156">O89*AE96</f>
        <v>333.65512368898158</v>
      </c>
      <c r="P96" s="91">
        <f t="shared" ref="P96" si="157">P89*AF96</f>
        <v>376.03204721225859</v>
      </c>
      <c r="Q96" s="91">
        <f t="shared" ref="Q96" si="158">Q89*AG96</f>
        <v>422.88977943338534</v>
      </c>
      <c r="R96" s="78">
        <f>RATE(12,,-E96,Q96)</f>
        <v>0.13867334201812798</v>
      </c>
      <c r="S96" s="61" t="s">
        <v>19</v>
      </c>
      <c r="T96" s="12">
        <v>0.40099999999999997</v>
      </c>
      <c r="U96" s="12">
        <v>0.40265090533119946</v>
      </c>
      <c r="V96" s="12">
        <v>0.40430860739160734</v>
      </c>
      <c r="W96" s="12">
        <v>0.40597313416316017</v>
      </c>
      <c r="X96" s="12">
        <v>0.40764451374299493</v>
      </c>
      <c r="Y96" s="12">
        <v>0.40932277434392395</v>
      </c>
      <c r="Z96" s="12">
        <v>0.41100794429491083</v>
      </c>
      <c r="AA96" s="12">
        <v>0.4127000520415488</v>
      </c>
      <c r="AB96" s="12">
        <v>0.41439912614654062</v>
      </c>
      <c r="AC96" s="12">
        <v>0.41610519529018092</v>
      </c>
      <c r="AD96" s="12">
        <v>0.41781828827084017</v>
      </c>
      <c r="AE96" s="12">
        <v>0.4195384340054511</v>
      </c>
      <c r="AF96" s="12">
        <v>0.4212656615299965</v>
      </c>
      <c r="AG96" s="12">
        <v>0.42299999999999938</v>
      </c>
    </row>
    <row r="97" spans="1:33" ht="15.75" thickBot="1" x14ac:dyDescent="0.3">
      <c r="A97" s="111"/>
      <c r="B97" s="63" t="s">
        <v>20</v>
      </c>
      <c r="C97" s="51"/>
      <c r="D97" s="92">
        <f>D89*T97</f>
        <v>114.94312829999998</v>
      </c>
      <c r="E97" s="92">
        <f t="shared" ref="E97" si="159">E89*U97</f>
        <v>132.04953592641453</v>
      </c>
      <c r="F97" s="92">
        <f t="shared" ref="F97" si="160">F89*V97</f>
        <v>151.30847969168298</v>
      </c>
      <c r="G97" s="92">
        <f t="shared" ref="G97" si="161">G89*W97</f>
        <v>172.93429248531851</v>
      </c>
      <c r="H97" s="92">
        <f t="shared" ref="H97" si="162">H89*X97</f>
        <v>197.15559532046464</v>
      </c>
      <c r="I97" s="92">
        <f t="shared" ref="I97" si="163">I89*Y97</f>
        <v>224.2154913730312</v>
      </c>
      <c r="J97" s="92">
        <f t="shared" ref="J97" si="164">J89*Z97</f>
        <v>254.37168399053235</v>
      </c>
      <c r="K97" s="92">
        <f t="shared" ref="K97" si="165">K89*AA97</f>
        <v>287.89651297703512</v>
      </c>
      <c r="L97" s="92">
        <f t="shared" ref="L97" si="166">L89*AB97</f>
        <v>325.07690396310863</v>
      </c>
      <c r="M97" s="92">
        <f t="shared" ref="M97" si="167">M89*AC97</f>
        <v>366.21422625000224</v>
      </c>
      <c r="N97" s="92">
        <f t="shared" ref="N97" si="168">N89*AD97</f>
        <v>411.62405516966555</v>
      </c>
      <c r="O97" s="92">
        <f t="shared" ref="O97" si="169">O89*AE97</f>
        <v>461.63583571962977</v>
      </c>
      <c r="P97" s="92">
        <f t="shared" ref="P97" si="170">P89*AF97</f>
        <v>516.59244500613443</v>
      </c>
      <c r="Q97" s="92">
        <f t="shared" ref="Q97" si="171">Q89*AG97</f>
        <v>576.84965185121507</v>
      </c>
      <c r="R97" s="79">
        <f>RATE(12,,-E97,Q97)</f>
        <v>0.13073407414468388</v>
      </c>
      <c r="S97" s="63" t="s">
        <v>20</v>
      </c>
      <c r="T97" s="12">
        <f>1-T96</f>
        <v>0.59899999999999998</v>
      </c>
      <c r="U97" s="12">
        <f t="shared" ref="U97" si="172">1-U96</f>
        <v>0.59734909466880048</v>
      </c>
      <c r="V97" s="12">
        <f t="shared" ref="V97" si="173">1-V96</f>
        <v>0.59569139260839266</v>
      </c>
      <c r="W97" s="12">
        <f t="shared" ref="W97" si="174">1-W96</f>
        <v>0.59402686583683983</v>
      </c>
      <c r="X97" s="12">
        <f t="shared" ref="X97" si="175">1-X96</f>
        <v>0.59235548625700507</v>
      </c>
      <c r="Y97" s="12">
        <f t="shared" ref="Y97" si="176">1-Y96</f>
        <v>0.59067722565607605</v>
      </c>
      <c r="Z97" s="12">
        <f t="shared" ref="Z97" si="177">1-Z96</f>
        <v>0.58899205570508917</v>
      </c>
      <c r="AA97" s="12">
        <f t="shared" ref="AA97" si="178">1-AA96</f>
        <v>0.5872999479584512</v>
      </c>
      <c r="AB97" s="12">
        <f t="shared" ref="AB97" si="179">1-AB96</f>
        <v>0.58560087385345938</v>
      </c>
      <c r="AC97" s="12">
        <f t="shared" ref="AC97" si="180">1-AC96</f>
        <v>0.58389480470981914</v>
      </c>
      <c r="AD97" s="12">
        <f t="shared" ref="AD97" si="181">1-AD96</f>
        <v>0.58218171172915989</v>
      </c>
      <c r="AE97" s="12">
        <f t="shared" ref="AE97" si="182">1-AE96</f>
        <v>0.5804615659945489</v>
      </c>
      <c r="AF97" s="12">
        <f t="shared" ref="AF97" si="183">1-AF96</f>
        <v>0.57873433847000344</v>
      </c>
      <c r="AG97" s="12">
        <f t="shared" ref="AG97" si="184">1-AG96</f>
        <v>0.57700000000000062</v>
      </c>
    </row>
    <row r="98" spans="1:33" ht="15.75" thickBot="1" x14ac:dyDescent="0.3">
      <c r="A98" s="2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21"/>
    </row>
    <row r="99" spans="1:33" x14ac:dyDescent="0.25">
      <c r="A99" s="110" t="s">
        <v>14</v>
      </c>
      <c r="B99" s="66" t="s">
        <v>21</v>
      </c>
      <c r="C99" s="57"/>
      <c r="D99" s="93">
        <f>D89*T99</f>
        <v>47.972924999999996</v>
      </c>
      <c r="E99" s="93">
        <f t="shared" ref="E99" si="185">E89*U99</f>
        <v>55.608763492992459</v>
      </c>
      <c r="F99" s="93">
        <f t="shared" ref="F99" si="186">F89*V99</f>
        <v>64.294092658970129</v>
      </c>
      <c r="G99" s="93">
        <f t="shared" ref="G99" si="187">G89*W99</f>
        <v>74.14787745837458</v>
      </c>
      <c r="H99" s="93">
        <f t="shared" ref="H99" si="188">H89*X99</f>
        <v>85.299196684418874</v>
      </c>
      <c r="I99" s="93">
        <f t="shared" ref="I99" si="189">I89*Y99</f>
        <v>97.887716715310987</v>
      </c>
      <c r="J99" s="93">
        <f t="shared" ref="J99" si="190">J89*Z99</f>
        <v>112.06414905390581</v>
      </c>
      <c r="K99" s="93">
        <f t="shared" ref="K99" si="191">K89*AA99</f>
        <v>127.99068759562336</v>
      </c>
      <c r="L99" s="93">
        <f t="shared" ref="L99" si="192">L89*AB99</f>
        <v>145.84142153165166</v>
      </c>
      <c r="M99" s="93">
        <f t="shared" ref="M99" si="193">M89*AC99</f>
        <v>165.80271980164432</v>
      </c>
      <c r="N99" s="93">
        <f t="shared" ref="N99" si="194">N89*AD99</f>
        <v>188.07358305934241</v>
      </c>
      <c r="O99" s="93">
        <f t="shared" ref="O99" si="195">O89*AE99</f>
        <v>212.86595920622145</v>
      </c>
      <c r="P99" s="93">
        <f t="shared" ref="P99" si="196">P89*AF99</f>
        <v>240.40501868222387</v>
      </c>
      <c r="Q99" s="93">
        <f t="shared" ref="Q99" si="197">Q89*AG99</f>
        <v>270.92938587812682</v>
      </c>
      <c r="R99" s="80">
        <f t="shared" ref="R99:R104" si="198">RATE(12,,-E99,Q99)</f>
        <v>0.14106242981462572</v>
      </c>
      <c r="S99" s="66" t="s">
        <v>21</v>
      </c>
      <c r="T99" s="12">
        <v>0.25</v>
      </c>
      <c r="U99" s="12">
        <v>0.25155593539307364</v>
      </c>
      <c r="V99" s="12">
        <v>0.25312155452593693</v>
      </c>
      <c r="W99" s="12">
        <v>0.25469691766768382</v>
      </c>
      <c r="X99" s="12">
        <v>0.25628208546250747</v>
      </c>
      <c r="Y99" s="12">
        <v>0.2578771189320348</v>
      </c>
      <c r="Z99" s="12">
        <v>0.25948207947767565</v>
      </c>
      <c r="AA99" s="12">
        <v>0.2610970288829863</v>
      </c>
      <c r="AB99" s="12">
        <v>0.26272202931604799</v>
      </c>
      <c r="AC99" s="12">
        <v>0.26435714333185978</v>
      </c>
      <c r="AD99" s="12">
        <v>0.26600243387474731</v>
      </c>
      <c r="AE99" s="12">
        <v>0.26765796428078514</v>
      </c>
      <c r="AF99" s="12">
        <v>0.26932379828023517</v>
      </c>
      <c r="AG99" s="12">
        <v>0.27100000000000013</v>
      </c>
    </row>
    <row r="100" spans="1:33" x14ac:dyDescent="0.25">
      <c r="A100" s="112"/>
      <c r="B100" s="67" t="s">
        <v>22</v>
      </c>
      <c r="C100" s="48"/>
      <c r="D100" s="94">
        <f>D89*T100</f>
        <v>72.918846000000002</v>
      </c>
      <c r="E100" s="94">
        <f t="shared" ref="E100" si="199">E89*U100</f>
        <v>84.203650045475769</v>
      </c>
      <c r="F100" s="94">
        <f t="shared" ref="F100" si="200">F89*V100</f>
        <v>96.984614198354677</v>
      </c>
      <c r="G100" s="94">
        <f t="shared" ref="G100" si="201">G89*W100</f>
        <v>111.42293284652708</v>
      </c>
      <c r="H100" s="94">
        <f t="shared" ref="H100" si="202">H89*X100</f>
        <v>127.69235443526719</v>
      </c>
      <c r="I100" s="94">
        <f t="shared" ref="I100" si="203">I89*Y100</f>
        <v>145.97962491130232</v>
      </c>
      <c r="J100" s="94">
        <f t="shared" ref="J100" si="204">J89*Z100</f>
        <v>166.48489404599462</v>
      </c>
      <c r="K100" s="94">
        <f t="shared" ref="K100" si="205">K89*AA100</f>
        <v>189.42207945878624</v>
      </c>
      <c r="L100" s="94">
        <f t="shared" ref="L100" si="206">L89*AB100</f>
        <v>215.01918328336131</v>
      </c>
      <c r="M100" s="94">
        <f t="shared" ref="M100" si="207">M89*AC100</f>
        <v>243.51855659921554</v>
      </c>
      <c r="N100" s="94">
        <f t="shared" ref="N100" si="208">N89*AD100</f>
        <v>275.17710698970467</v>
      </c>
      <c r="O100" s="94">
        <f t="shared" ref="O100" si="209">O89*AE100</f>
        <v>310.26644488248519</v>
      </c>
      <c r="P100" s="94">
        <f t="shared" ref="P100" si="210">P89*AF100</f>
        <v>349.0729646770572</v>
      </c>
      <c r="Q100" s="94">
        <f t="shared" ref="Q100" si="211">Q89*AG100</f>
        <v>391.89785706356338</v>
      </c>
      <c r="R100" s="81">
        <f t="shared" si="198"/>
        <v>0.13671999042611729</v>
      </c>
      <c r="S100" s="67" t="s">
        <v>22</v>
      </c>
      <c r="T100" s="12">
        <v>0.38</v>
      </c>
      <c r="U100" s="12">
        <v>0.38090988938047371</v>
      </c>
      <c r="V100" s="12">
        <v>0.38182195744169661</v>
      </c>
      <c r="W100" s="12">
        <v>0.38273620940040159</v>
      </c>
      <c r="X100" s="12">
        <v>0.38365265048581265</v>
      </c>
      <c r="Y100" s="12">
        <v>0.38457128593967477</v>
      </c>
      <c r="Z100" s="12">
        <v>0.38549212101628438</v>
      </c>
      <c r="AA100" s="12">
        <v>0.38641516098251855</v>
      </c>
      <c r="AB100" s="12">
        <v>0.38734041111786593</v>
      </c>
      <c r="AC100" s="12">
        <v>0.38826787671445667</v>
      </c>
      <c r="AD100" s="12">
        <v>0.38919756307709236</v>
      </c>
      <c r="AE100" s="12">
        <v>0.39012947552327681</v>
      </c>
      <c r="AF100" s="12">
        <v>0.3910636193832463</v>
      </c>
      <c r="AG100" s="12">
        <v>0.39200000000000002</v>
      </c>
    </row>
    <row r="101" spans="1:33" x14ac:dyDescent="0.25">
      <c r="A101" s="112"/>
      <c r="B101" s="68" t="s">
        <v>23</v>
      </c>
      <c r="C101" s="48"/>
      <c r="D101" s="95">
        <f>D100*T101</f>
        <v>25.521596099999989</v>
      </c>
      <c r="E101" s="95">
        <f t="shared" ref="E101" si="212">E100*U101</f>
        <v>29.41956669635897</v>
      </c>
      <c r="F101" s="95">
        <f t="shared" ref="F101" si="213">F100*V101</f>
        <v>33.825599842560791</v>
      </c>
      <c r="G101" s="95">
        <f t="shared" ref="G101" si="214">G100*W101</f>
        <v>38.793106612875931</v>
      </c>
      <c r="H101" s="95">
        <f t="shared" ref="H101" si="215">H100*X101</f>
        <v>44.379476910660451</v>
      </c>
      <c r="I101" s="95">
        <f t="shared" ref="I101" si="216">I100*Y101</f>
        <v>50.646196738315751</v>
      </c>
      <c r="J101" s="95">
        <f t="shared" ref="J101" si="217">J100*Z101</f>
        <v>57.65895118694845</v>
      </c>
      <c r="K101" s="95">
        <f t="shared" ref="K101" si="218">K100*AA101</f>
        <v>65.487711522322584</v>
      </c>
      <c r="L101" s="95">
        <f t="shared" ref="L101" si="219">L100*AB101</f>
        <v>74.206804809540387</v>
      </c>
      <c r="M101" s="95">
        <f t="shared" ref="M101" si="220">M100*AC101</f>
        <v>83.894964604182221</v>
      </c>
      <c r="N101" s="95">
        <f t="shared" ref="N101" si="221">N100*AD101</f>
        <v>94.635361341759221</v>
      </c>
      <c r="O101" s="95">
        <f t="shared" ref="O101" si="222">O100*AE101</f>
        <v>106.51561117936529</v>
      </c>
      <c r="P101" s="95">
        <f t="shared" ref="P101" si="223">P100*AF101</f>
        <v>119.62776218217151</v>
      </c>
      <c r="Q101" s="95">
        <f t="shared" ref="Q101" si="224">Q100*AG101</f>
        <v>134.06825690144495</v>
      </c>
      <c r="R101" s="81">
        <f t="shared" si="198"/>
        <v>0.1347254816274871</v>
      </c>
      <c r="S101" s="68" t="s">
        <v>23</v>
      </c>
      <c r="T101" s="74">
        <v>0.34999999999999987</v>
      </c>
      <c r="U101" s="74">
        <v>0.34938588387166564</v>
      </c>
      <c r="V101" s="74">
        <v>0.34877284528224306</v>
      </c>
      <c r="W101" s="74">
        <v>0.34816088234106346</v>
      </c>
      <c r="X101" s="74">
        <v>0.34754999316077562</v>
      </c>
      <c r="Y101" s="74">
        <v>0.34694017585733994</v>
      </c>
      <c r="Z101" s="74">
        <v>0.34633142855002247</v>
      </c>
      <c r="AA101" s="74">
        <v>0.34572374936138933</v>
      </c>
      <c r="AB101" s="74">
        <v>0.34511713641730069</v>
      </c>
      <c r="AC101" s="74">
        <v>0.34451158784690528</v>
      </c>
      <c r="AD101" s="74">
        <v>0.34390710178263434</v>
      </c>
      <c r="AE101" s="74">
        <v>0.34330367636019604</v>
      </c>
      <c r="AF101" s="74">
        <v>0.34270130971856966</v>
      </c>
      <c r="AG101" s="74">
        <v>0.34209999999999979</v>
      </c>
    </row>
    <row r="102" spans="1:33" x14ac:dyDescent="0.25">
      <c r="A102" s="112"/>
      <c r="B102" s="68" t="s">
        <v>24</v>
      </c>
      <c r="C102" s="48"/>
      <c r="D102" s="95">
        <f>D100*T102</f>
        <v>20.417276880000003</v>
      </c>
      <c r="E102" s="95">
        <f t="shared" ref="E102" si="225">E100*U102</f>
        <v>23.659473242088094</v>
      </c>
      <c r="F102" s="95">
        <f t="shared" ref="F102" si="226">F100*V102</f>
        <v>27.345956481898256</v>
      </c>
      <c r="G102" s="95">
        <f t="shared" ref="G102" si="227">G100*W102</f>
        <v>31.526879273058796</v>
      </c>
      <c r="H102" s="95">
        <f t="shared" ref="H102" si="228">H100*X102</f>
        <v>36.256628361413355</v>
      </c>
      <c r="I102" s="95">
        <f t="shared" ref="I102" si="229">I100*Y102</f>
        <v>41.594019004639023</v>
      </c>
      <c r="J102" s="95">
        <f t="shared" ref="J102" si="230">J100*Z102</f>
        <v>47.602482143050295</v>
      </c>
      <c r="K102" s="95">
        <f t="shared" ref="K102" si="231">K100*AA102</f>
        <v>54.3502425938442</v>
      </c>
      <c r="L102" s="95">
        <f t="shared" ref="L102" si="232">L100*AB102</f>
        <v>61.910486551102991</v>
      </c>
      <c r="M102" s="95">
        <f t="shared" ref="M102" si="233">M100*AC102</f>
        <v>70.361516681370333</v>
      </c>
      <c r="N102" s="95">
        <f t="shared" ref="N102" si="234">N100*AD102</f>
        <v>79.786893129931201</v>
      </c>
      <c r="O102" s="95">
        <f t="shared" ref="O102" si="235">O100*AE102</f>
        <v>90.275558796176867</v>
      </c>
      <c r="P102" s="95">
        <f t="shared" ref="P102" si="236">P100*AF102</f>
        <v>101.92194729749588</v>
      </c>
      <c r="Q102" s="95">
        <f t="shared" ref="Q102" si="237">Q100*AG102</f>
        <v>114.82607211962393</v>
      </c>
      <c r="R102" s="81">
        <f t="shared" si="198"/>
        <v>0.14069521514246366</v>
      </c>
      <c r="S102" s="68" t="s">
        <v>24</v>
      </c>
      <c r="T102" s="74">
        <v>0.28000000000000003</v>
      </c>
      <c r="U102" s="74">
        <v>0.28097918830490543</v>
      </c>
      <c r="V102" s="74">
        <v>0.28196180093029821</v>
      </c>
      <c r="W102" s="74">
        <v>0.28294784985137333</v>
      </c>
      <c r="X102" s="74">
        <v>0.28393734708520407</v>
      </c>
      <c r="Y102" s="74">
        <v>0.28493030469088876</v>
      </c>
      <c r="Z102" s="74">
        <v>0.28592673476969749</v>
      </c>
      <c r="AA102" s="74">
        <v>0.28692664946521995</v>
      </c>
      <c r="AB102" s="74">
        <v>0.28793006096351298</v>
      </c>
      <c r="AC102" s="74">
        <v>0.28893698149324931</v>
      </c>
      <c r="AD102" s="74">
        <v>0.28994742332586665</v>
      </c>
      <c r="AE102" s="74">
        <v>0.29096139877571725</v>
      </c>
      <c r="AF102" s="74">
        <v>0.29197892020021765</v>
      </c>
      <c r="AG102" s="74">
        <v>0.29299999999999965</v>
      </c>
    </row>
    <row r="103" spans="1:33" x14ac:dyDescent="0.25">
      <c r="A103" s="112"/>
      <c r="B103" s="68" t="s">
        <v>25</v>
      </c>
      <c r="C103" s="48"/>
      <c r="D103" s="95">
        <f>D100*T103</f>
        <v>26.97997302000001</v>
      </c>
      <c r="E103" s="95">
        <f t="shared" ref="E103" si="238">E100*U103</f>
        <v>31.124610107028708</v>
      </c>
      <c r="F103" s="95">
        <f t="shared" ref="F103" si="239">F100*V103</f>
        <v>35.81305787389563</v>
      </c>
      <c r="G103" s="95">
        <f t="shared" ref="G103" si="240">G100*W103</f>
        <v>41.102946960592348</v>
      </c>
      <c r="H103" s="95">
        <f t="shared" ref="H103" si="241">H100*X103</f>
        <v>47.056249163193378</v>
      </c>
      <c r="I103" s="95">
        <f t="shared" ref="I103" si="242">I100*Y103</f>
        <v>53.739409168347549</v>
      </c>
      <c r="J103" s="95">
        <f t="shared" ref="J103" si="243">J100*Z103</f>
        <v>61.223460715995884</v>
      </c>
      <c r="K103" s="95">
        <f t="shared" ref="K103" si="244">K100*AA103</f>
        <v>69.584125342619458</v>
      </c>
      <c r="L103" s="95">
        <f t="shared" ref="L103" si="245">L100*AB103</f>
        <v>78.901891922717951</v>
      </c>
      <c r="M103" s="95">
        <f t="shared" ref="M103" si="246">M100*AC103</f>
        <v>89.26207531366299</v>
      </c>
      <c r="N103" s="95">
        <f t="shared" ref="N103" si="247">N100*AD103</f>
        <v>100.75485251801423</v>
      </c>
      <c r="O103" s="95">
        <f t="shared" ref="O103" si="248">O100*AE103</f>
        <v>113.475274906943</v>
      </c>
      <c r="P103" s="95">
        <f t="shared" ref="P103" si="249">P100*AF103</f>
        <v>127.52325519738983</v>
      </c>
      <c r="Q103" s="95">
        <f t="shared" ref="Q103" si="250">Q100*AG103</f>
        <v>143.00352804249451</v>
      </c>
      <c r="R103" s="81">
        <f t="shared" si="198"/>
        <v>0.13549938330965244</v>
      </c>
      <c r="S103" s="68" t="s">
        <v>25</v>
      </c>
      <c r="T103" s="74">
        <f>1-SUM(T101:T102)</f>
        <v>0.37000000000000011</v>
      </c>
      <c r="U103" s="74">
        <f t="shared" ref="U103" si="251">1-SUM(U101:U102)</f>
        <v>0.36963492782342899</v>
      </c>
      <c r="V103" s="74">
        <f t="shared" ref="V103" si="252">1-SUM(V101:V102)</f>
        <v>0.36926535378745873</v>
      </c>
      <c r="W103" s="74">
        <f t="shared" ref="W103" si="253">1-SUM(W101:W102)</f>
        <v>0.36889126780756321</v>
      </c>
      <c r="X103" s="74">
        <f t="shared" ref="X103" si="254">1-SUM(X101:X102)</f>
        <v>0.36851265975402026</v>
      </c>
      <c r="Y103" s="74">
        <f t="shared" ref="Y103" si="255">1-SUM(Y101:Y102)</f>
        <v>0.3681295194517713</v>
      </c>
      <c r="Z103" s="74">
        <f t="shared" ref="Z103" si="256">1-SUM(Z101:Z102)</f>
        <v>0.36774183668028004</v>
      </c>
      <c r="AA103" s="74">
        <f t="shared" ref="AA103" si="257">1-SUM(AA101:AA102)</f>
        <v>0.36734960117339077</v>
      </c>
      <c r="AB103" s="74">
        <f t="shared" ref="AB103" si="258">1-SUM(AB101:AB102)</f>
        <v>0.36695280261918639</v>
      </c>
      <c r="AC103" s="74">
        <f t="shared" ref="AC103" si="259">1-SUM(AC101:AC102)</f>
        <v>0.36655143065984541</v>
      </c>
      <c r="AD103" s="74">
        <f t="shared" ref="AD103" si="260">1-SUM(AD101:AD102)</f>
        <v>0.36614547489149896</v>
      </c>
      <c r="AE103" s="74">
        <f t="shared" ref="AE103" si="261">1-SUM(AE101:AE102)</f>
        <v>0.36573492486408665</v>
      </c>
      <c r="AF103" s="74">
        <f t="shared" ref="AF103" si="262">1-SUM(AF101:AF102)</f>
        <v>0.36531977008121275</v>
      </c>
      <c r="AG103" s="74">
        <f t="shared" ref="AG103" si="263">1-SUM(AG101:AG102)</f>
        <v>0.36490000000000056</v>
      </c>
    </row>
    <row r="104" spans="1:33" ht="15.75" thickBot="1" x14ac:dyDescent="0.3">
      <c r="A104" s="111"/>
      <c r="B104" s="69" t="s">
        <v>26</v>
      </c>
      <c r="C104" s="58"/>
      <c r="D104" s="96">
        <f>D89*T104</f>
        <v>70.999928999999995</v>
      </c>
      <c r="E104" s="96">
        <f t="shared" ref="E104" si="264">E89*U104</f>
        <v>81.246824861531778</v>
      </c>
      <c r="F104" s="96">
        <f t="shared" ref="F104" si="265">F89*V104</f>
        <v>92.726104306957225</v>
      </c>
      <c r="G104" s="96">
        <f t="shared" ref="G104" si="266">G89*W104</f>
        <v>105.5511951648274</v>
      </c>
      <c r="H104" s="96">
        <f t="shared" ref="H104" si="267">H89*X104</f>
        <v>119.84168820127941</v>
      </c>
      <c r="I104" s="96">
        <f t="shared" ref="I104" si="268">I89*Y104</f>
        <v>135.72320568793896</v>
      </c>
      <c r="J104" s="96">
        <f t="shared" ref="J104" si="269">J89*Z104</f>
        <v>153.32721316984001</v>
      </c>
      <c r="K104" s="96">
        <f t="shared" ref="K104" si="270">K89*AA104</f>
        <v>172.79077200226763</v>
      </c>
      <c r="L104" s="96">
        <f t="shared" ref="L104" si="271">L89*AB104</f>
        <v>194.2562306910348</v>
      </c>
      <c r="M104" s="96">
        <f t="shared" ref="M104" si="272">M89*AC104</f>
        <v>217.87085357878843</v>
      </c>
      <c r="N104" s="96">
        <f t="shared" ref="N104" si="273">N89*AD104</f>
        <v>243.78638596470367</v>
      </c>
      <c r="O104" s="96">
        <f t="shared" ref="O104" si="274">O89*AE104</f>
        <v>272.15855531990474</v>
      </c>
      <c r="P104" s="96">
        <f t="shared" ref="P104" si="275">P89*AF104</f>
        <v>303.14650885911215</v>
      </c>
      <c r="Q104" s="96">
        <f t="shared" ref="Q104" si="276">Q89*AG104</f>
        <v>336.91218834291021</v>
      </c>
      <c r="R104" s="82">
        <f t="shared" si="198"/>
        <v>0.12583788918129962</v>
      </c>
      <c r="S104" s="69" t="s">
        <v>26</v>
      </c>
      <c r="T104" s="12">
        <f>1-SUM(T99+T100)</f>
        <v>0.37</v>
      </c>
      <c r="U104" s="12">
        <f t="shared" ref="U104:AG104" si="277">1-SUM(U99+U100)</f>
        <v>0.36753417522645271</v>
      </c>
      <c r="V104" s="12">
        <f t="shared" si="277"/>
        <v>0.36505648803236646</v>
      </c>
      <c r="W104" s="12">
        <f t="shared" si="277"/>
        <v>0.36256687293191459</v>
      </c>
      <c r="X104" s="12">
        <f t="shared" si="277"/>
        <v>0.36006526405167993</v>
      </c>
      <c r="Y104" s="12">
        <f t="shared" si="277"/>
        <v>0.35755159512829038</v>
      </c>
      <c r="Z104" s="12">
        <f t="shared" si="277"/>
        <v>0.35502579950603996</v>
      </c>
      <c r="AA104" s="12">
        <f t="shared" si="277"/>
        <v>0.35248781013449515</v>
      </c>
      <c r="AB104" s="12">
        <f t="shared" si="277"/>
        <v>0.34993755956608608</v>
      </c>
      <c r="AC104" s="12">
        <f t="shared" si="277"/>
        <v>0.3473749799536836</v>
      </c>
      <c r="AD104" s="12">
        <f t="shared" si="277"/>
        <v>0.34480000304816039</v>
      </c>
      <c r="AE104" s="12">
        <f t="shared" si="277"/>
        <v>0.34221256019593804</v>
      </c>
      <c r="AF104" s="12">
        <f t="shared" si="277"/>
        <v>0.33961258233651859</v>
      </c>
      <c r="AG104" s="12">
        <f t="shared" si="277"/>
        <v>0.33699999999999986</v>
      </c>
    </row>
    <row r="105" spans="1:33" ht="15.75" thickBot="1" x14ac:dyDescent="0.3">
      <c r="A105" s="2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21"/>
    </row>
    <row r="106" spans="1:33" x14ac:dyDescent="0.25">
      <c r="A106" s="113" t="s">
        <v>27</v>
      </c>
      <c r="B106" s="61" t="s">
        <v>28</v>
      </c>
      <c r="C106" s="56"/>
      <c r="D106" s="91">
        <f>D89*T106</f>
        <v>76.948571699999988</v>
      </c>
      <c r="E106" s="91">
        <f t="shared" ref="E106" si="278">E89*U106</f>
        <v>89.009702473585449</v>
      </c>
      <c r="F106" s="91">
        <f t="shared" ref="F106" si="279">F89*V106</f>
        <v>102.69633147259907</v>
      </c>
      <c r="G106" s="91">
        <f t="shared" ref="G106" si="280">G89*W106</f>
        <v>118.18771298441057</v>
      </c>
      <c r="H106" s="91">
        <f t="shared" ref="H106" si="281">H89*X106</f>
        <v>135.67764400050081</v>
      </c>
      <c r="I106" s="91">
        <f t="shared" ref="I106" si="282">I89*Y106</f>
        <v>155.37505594152108</v>
      </c>
      <c r="J106" s="91">
        <f t="shared" ref="J106" si="283">J89*Z106</f>
        <v>177.50457227920811</v>
      </c>
      <c r="K106" s="91">
        <f t="shared" ref="K106" si="284">K89*AA106</f>
        <v>202.3070260796421</v>
      </c>
      <c r="L106" s="91">
        <f t="shared" ref="L106" si="285">L89*AB106</f>
        <v>230.03993154293914</v>
      </c>
      <c r="M106" s="91">
        <f t="shared" ref="M106" si="286">M89*AC106</f>
        <v>260.97790372964607</v>
      </c>
      <c r="N106" s="91">
        <f t="shared" ref="N106" si="287">N89*AD106</f>
        <v>295.41302084408522</v>
      </c>
      <c r="O106" s="91">
        <f t="shared" ref="O106" si="288">O89*AE106</f>
        <v>333.65512368898158</v>
      </c>
      <c r="P106" s="91">
        <f t="shared" ref="P106" si="289">P89*AF106</f>
        <v>376.03204721225859</v>
      </c>
      <c r="Q106" s="91">
        <f t="shared" ref="Q106" si="290">Q89*AG106</f>
        <v>422.88977943338534</v>
      </c>
      <c r="R106" s="78">
        <f>RATE(12,,-E106,Q106)</f>
        <v>0.13867334201812798</v>
      </c>
      <c r="S106" s="61" t="s">
        <v>28</v>
      </c>
      <c r="T106" s="12">
        <v>0.40099999999999997</v>
      </c>
      <c r="U106" s="12">
        <v>0.40265090533119946</v>
      </c>
      <c r="V106" s="12">
        <v>0.40430860739160734</v>
      </c>
      <c r="W106" s="12">
        <v>0.40597313416316017</v>
      </c>
      <c r="X106" s="12">
        <v>0.40764451374299493</v>
      </c>
      <c r="Y106" s="12">
        <v>0.40932277434392395</v>
      </c>
      <c r="Z106" s="12">
        <v>0.41100794429491083</v>
      </c>
      <c r="AA106" s="12">
        <v>0.4127000520415488</v>
      </c>
      <c r="AB106" s="12">
        <v>0.41439912614654062</v>
      </c>
      <c r="AC106" s="12">
        <v>0.41610519529018092</v>
      </c>
      <c r="AD106" s="12">
        <v>0.41781828827084017</v>
      </c>
      <c r="AE106" s="12">
        <v>0.4195384340054511</v>
      </c>
      <c r="AF106" s="12">
        <v>0.4212656615299965</v>
      </c>
      <c r="AG106" s="12">
        <v>0.42299999999999938</v>
      </c>
    </row>
    <row r="107" spans="1:33" x14ac:dyDescent="0.25">
      <c r="A107" s="114"/>
      <c r="B107" s="62" t="s">
        <v>29</v>
      </c>
      <c r="C107" s="47"/>
      <c r="D107" s="97">
        <f>D89*T107</f>
        <v>82.705322699999996</v>
      </c>
      <c r="E107" s="97">
        <f t="shared" ref="E107" si="291">E89*U107</f>
        <v>95.461413924361338</v>
      </c>
      <c r="F107" s="97">
        <f t="shared" ref="F107" si="292">F89*V107</f>
        <v>109.90135803258707</v>
      </c>
      <c r="G107" s="97">
        <f t="shared" ref="G107" si="293">G89*W107</f>
        <v>126.20543949501374</v>
      </c>
      <c r="H107" s="97">
        <f t="shared" ref="H107" si="294">H89*X107</f>
        <v>144.56782728227324</v>
      </c>
      <c r="I107" s="97">
        <f t="shared" ref="I107" si="295">I89*Y107</f>
        <v>165.19704487483969</v>
      </c>
      <c r="J107" s="97">
        <f t="shared" ref="J107" si="296">J89*Z107</f>
        <v>188.31639696374717</v>
      </c>
      <c r="K107" s="97">
        <f t="shared" ref="K107" si="297">K89*AA107</f>
        <v>214.16434712239581</v>
      </c>
      <c r="L107" s="97">
        <f t="shared" ref="L107" si="298">L89*AB107</f>
        <v>242.99484088741872</v>
      </c>
      <c r="M107" s="97">
        <f t="shared" ref="M107" si="299">M89*AC107</f>
        <v>275.07756891060905</v>
      </c>
      <c r="N107" s="97">
        <f t="shared" ref="N107" si="300">N89*AD107</f>
        <v>310.69816513270865</v>
      </c>
      <c r="O107" s="97">
        <f t="shared" ref="O107" si="301">O89*AE107</f>
        <v>350.1583352812483</v>
      </c>
      <c r="P107" s="97">
        <f t="shared" ref="P107" si="302">P89*AF107</f>
        <v>393.77591140548321</v>
      </c>
      <c r="Q107" s="97">
        <f t="shared" ref="Q107" si="303">Q89*AG107</f>
        <v>441.88482862779364</v>
      </c>
      <c r="R107" s="83">
        <f>RATE(12,,-E107,Q107)</f>
        <v>0.13620519079411533</v>
      </c>
      <c r="S107" s="62" t="s">
        <v>29</v>
      </c>
      <c r="T107" s="12">
        <v>0.43099999999999999</v>
      </c>
      <c r="U107" s="12">
        <v>0.43183634674261745</v>
      </c>
      <c r="V107" s="12">
        <v>0.43267431639909548</v>
      </c>
      <c r="W107" s="12">
        <v>0.43351391211866536</v>
      </c>
      <c r="X107" s="12">
        <v>0.43435513705666956</v>
      </c>
      <c r="Y107" s="12">
        <v>0.43519799437457324</v>
      </c>
      <c r="Z107" s="12">
        <v>0.43604248723997657</v>
      </c>
      <c r="AA107" s="12">
        <v>0.43688861882662616</v>
      </c>
      <c r="AB107" s="12">
        <v>0.43773639231442729</v>
      </c>
      <c r="AC107" s="12">
        <v>0.43858581088945586</v>
      </c>
      <c r="AD107" s="12">
        <v>0.43943687774397006</v>
      </c>
      <c r="AE107" s="12">
        <v>0.44028959607642287</v>
      </c>
      <c r="AF107" s="12">
        <v>0.44114396909147369</v>
      </c>
      <c r="AG107" s="12">
        <v>0.44200000000000028</v>
      </c>
    </row>
    <row r="108" spans="1:33" ht="15.75" thickBot="1" x14ac:dyDescent="0.3">
      <c r="A108" s="115"/>
      <c r="B108" s="63" t="s">
        <v>30</v>
      </c>
      <c r="C108" s="51"/>
      <c r="D108" s="92">
        <f>D89*T108</f>
        <v>32.237805600000002</v>
      </c>
      <c r="E108" s="92">
        <f t="shared" ref="E108" si="304">E89*U108</f>
        <v>36.588122002053211</v>
      </c>
      <c r="F108" s="92">
        <f t="shared" ref="F108" si="305">F89*V108</f>
        <v>41.407121659095907</v>
      </c>
      <c r="G108" s="92">
        <f t="shared" ref="G108" si="306">G89*W108</f>
        <v>46.728852990304745</v>
      </c>
      <c r="H108" s="92">
        <f t="shared" ref="H108" si="307">H89*X108</f>
        <v>52.587768038191363</v>
      </c>
      <c r="I108" s="92">
        <f t="shared" ref="I108" si="308">I89*Y108</f>
        <v>59.018446498191494</v>
      </c>
      <c r="J108" s="92">
        <f t="shared" ref="J108" si="309">J89*Z108</f>
        <v>66.055287026785152</v>
      </c>
      <c r="K108" s="92">
        <f t="shared" ref="K108" si="310">K89*AA108</f>
        <v>73.732165854639305</v>
      </c>
      <c r="L108" s="92">
        <f t="shared" ref="L108" si="311">L89*AB108</f>
        <v>82.082063075689916</v>
      </c>
      <c r="M108" s="92">
        <f t="shared" ref="M108" si="312">M89*AC108</f>
        <v>91.136657339393153</v>
      </c>
      <c r="N108" s="92">
        <f t="shared" ref="N108" si="313">N89*AD108</f>
        <v>100.92589003695686</v>
      </c>
      <c r="O108" s="92">
        <f t="shared" ref="O108" si="314">O89*AE108</f>
        <v>111.4775004383815</v>
      </c>
      <c r="P108" s="92">
        <f t="shared" ref="P108" si="315">P89*AF108</f>
        <v>122.81653360065137</v>
      </c>
      <c r="Q108" s="92">
        <f t="shared" ref="Q108" si="316">Q89*AG108</f>
        <v>134.9648232234214</v>
      </c>
      <c r="R108" s="79">
        <f>RATE(12,,-E108,Q108)</f>
        <v>0.11491058658332082</v>
      </c>
      <c r="S108" s="63" t="s">
        <v>30</v>
      </c>
      <c r="T108" s="12">
        <f>1-SUM(T106:T107)</f>
        <v>0.16800000000000004</v>
      </c>
      <c r="U108" s="12">
        <f t="shared" ref="U108" si="317">1-SUM(U106:U107)</f>
        <v>0.16551274792618309</v>
      </c>
      <c r="V108" s="12">
        <f t="shared" ref="V108" si="318">1-SUM(V106:V107)</f>
        <v>0.16301707620929717</v>
      </c>
      <c r="W108" s="12">
        <f t="shared" ref="W108" si="319">1-SUM(W106:W107)</f>
        <v>0.16051295371817442</v>
      </c>
      <c r="X108" s="12">
        <f t="shared" ref="X108" si="320">1-SUM(X106:X107)</f>
        <v>0.15800034920033545</v>
      </c>
      <c r="Y108" s="12">
        <f t="shared" ref="Y108" si="321">1-SUM(Y106:Y107)</f>
        <v>0.15547923128150276</v>
      </c>
      <c r="Z108" s="12">
        <f t="shared" ref="Z108" si="322">1-SUM(Z106:Z107)</f>
        <v>0.15294956846511254</v>
      </c>
      <c r="AA108" s="12">
        <f t="shared" ref="AA108" si="323">1-SUM(AA106:AA107)</f>
        <v>0.15041132913182498</v>
      </c>
      <c r="AB108" s="12">
        <f t="shared" ref="AB108" si="324">1-SUM(AB106:AB107)</f>
        <v>0.14786448153903209</v>
      </c>
      <c r="AC108" s="12">
        <f t="shared" ref="AC108" si="325">1-SUM(AC106:AC107)</f>
        <v>0.14530899382036322</v>
      </c>
      <c r="AD108" s="12">
        <f t="shared" ref="AD108" si="326">1-SUM(AD106:AD107)</f>
        <v>0.14274483398518978</v>
      </c>
      <c r="AE108" s="12">
        <f t="shared" ref="AE108" si="327">1-SUM(AE106:AE107)</f>
        <v>0.14017196991812608</v>
      </c>
      <c r="AF108" s="12">
        <f t="shared" ref="AF108" si="328">1-SUM(AF106:AF107)</f>
        <v>0.13759036937852986</v>
      </c>
      <c r="AG108" s="12">
        <f t="shared" ref="AG108" si="329">1-SUM(AG106:AG107)</f>
        <v>0.13500000000000034</v>
      </c>
    </row>
    <row r="112" spans="1:33" ht="26.25" x14ac:dyDescent="0.4">
      <c r="A112" s="109" t="s">
        <v>68</v>
      </c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70"/>
    </row>
    <row r="113" spans="1:33" ht="24" thickBot="1" x14ac:dyDescent="0.4">
      <c r="A113" s="70"/>
      <c r="B113" s="70"/>
      <c r="C113" s="70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 spans="1:33" ht="15.75" x14ac:dyDescent="0.25">
      <c r="A114" s="49"/>
      <c r="B114" s="50"/>
      <c r="C114" s="100"/>
      <c r="D114" s="98">
        <v>2023</v>
      </c>
      <c r="E114" s="72">
        <v>2024</v>
      </c>
      <c r="F114" s="72">
        <v>2025</v>
      </c>
      <c r="G114" s="72">
        <v>2026</v>
      </c>
      <c r="H114" s="72">
        <v>2027</v>
      </c>
      <c r="I114" s="72">
        <v>2028</v>
      </c>
      <c r="J114" s="72">
        <v>2029</v>
      </c>
      <c r="K114" s="72">
        <v>2030</v>
      </c>
      <c r="L114" s="72">
        <v>2031</v>
      </c>
      <c r="M114" s="72">
        <v>2032</v>
      </c>
      <c r="N114" s="72">
        <v>2033</v>
      </c>
      <c r="O114" s="72">
        <v>2034</v>
      </c>
      <c r="P114" s="72">
        <v>2035</v>
      </c>
      <c r="Q114" s="72">
        <v>2036</v>
      </c>
      <c r="R114" s="73" t="s">
        <v>13</v>
      </c>
    </row>
    <row r="115" spans="1:33" ht="16.5" thickBot="1" x14ac:dyDescent="0.3">
      <c r="A115" s="26"/>
      <c r="B115" s="101"/>
      <c r="C115" s="102"/>
      <c r="D115" s="99">
        <f>'Market Analysis'!C52</f>
        <v>102.34224</v>
      </c>
      <c r="E115" s="99">
        <f>'Market Analysis'!D52</f>
        <v>116.1584424</v>
      </c>
      <c r="F115" s="99">
        <f>'Market Analysis'!E52</f>
        <v>131.5849486264722</v>
      </c>
      <c r="G115" s="99">
        <f>'Market Analysis'!F52</f>
        <v>149.16685171865879</v>
      </c>
      <c r="H115" s="99">
        <f>'Market Analysis'!G52</f>
        <v>169.21964414072477</v>
      </c>
      <c r="I115" s="99">
        <f>'Market Analysis'!H52</f>
        <v>192.10702937921371</v>
      </c>
      <c r="J115" s="99">
        <f>'Market Analysis'!I52</f>
        <v>218.24859093520138</v>
      </c>
      <c r="K115" s="99">
        <f>'Market Analysis'!J52</f>
        <v>248.12872806528907</v>
      </c>
      <c r="L115" s="99">
        <f>'Market Analysis'!K52</f>
        <v>282.30707507907766</v>
      </c>
      <c r="M115" s="99">
        <f>'Market Analysis'!L52</f>
        <v>321.43065937843971</v>
      </c>
      <c r="N115" s="99">
        <f>'Market Analysis'!M52</f>
        <v>366.2480988159042</v>
      </c>
      <c r="O115" s="99">
        <f>'Market Analysis'!N52</f>
        <v>417.62619267756759</v>
      </c>
      <c r="P115" s="99">
        <f>'Market Analysis'!O52</f>
        <v>476.56932423837111</v>
      </c>
      <c r="Q115" s="99">
        <f>'Market Analysis'!P52</f>
        <v>544.24216828021986</v>
      </c>
      <c r="R115" s="75">
        <f>RATE(12,,-E115,Q115)</f>
        <v>0.1373525806496933</v>
      </c>
      <c r="T115" s="72">
        <v>2023</v>
      </c>
      <c r="U115" s="72">
        <v>2024</v>
      </c>
      <c r="V115" s="72">
        <v>2025</v>
      </c>
      <c r="W115" s="72">
        <v>2026</v>
      </c>
      <c r="X115" s="72">
        <v>2027</v>
      </c>
      <c r="Y115" s="72">
        <v>2028</v>
      </c>
      <c r="Z115" s="72">
        <v>2029</v>
      </c>
      <c r="AA115" s="72">
        <v>2030</v>
      </c>
      <c r="AB115" s="72">
        <v>2031</v>
      </c>
      <c r="AC115" s="72">
        <v>2032</v>
      </c>
      <c r="AD115" s="72">
        <v>2033</v>
      </c>
      <c r="AE115" s="72">
        <v>2034</v>
      </c>
      <c r="AF115" s="72">
        <v>2035</v>
      </c>
      <c r="AG115" s="72">
        <v>2036</v>
      </c>
    </row>
    <row r="116" spans="1:33" x14ac:dyDescent="0.25">
      <c r="A116" s="110" t="s">
        <v>51</v>
      </c>
      <c r="B116" s="59" t="s">
        <v>34</v>
      </c>
      <c r="C116" s="52"/>
      <c r="D116" s="86">
        <f>D115*T116</f>
        <v>57.311654400000009</v>
      </c>
      <c r="E116" s="86">
        <f t="shared" ref="E116" si="330">E115*U116</f>
        <v>65.155780953219448</v>
      </c>
      <c r="F116" s="86">
        <f t="shared" ref="F116" si="331">F115*V116</f>
        <v>73.930311787054777</v>
      </c>
      <c r="G116" s="86">
        <f t="shared" ref="G116" si="332">G115*W116</f>
        <v>83.946538706796417</v>
      </c>
      <c r="H116" s="86">
        <f t="shared" ref="H116" si="333">H115*X116</f>
        <v>95.38836293139633</v>
      </c>
      <c r="I116" s="86">
        <f t="shared" ref="I116" si="334">I115*Y116</f>
        <v>108.46809733537729</v>
      </c>
      <c r="J116" s="86">
        <f t="shared" ref="J116" si="335">J115*Z116</f>
        <v>123.43103253133816</v>
      </c>
      <c r="K116" s="86">
        <f t="shared" ref="K116" si="336">K115*AA116</f>
        <v>140.56076449389394</v>
      </c>
      <c r="L116" s="86">
        <f t="shared" ref="L116" si="337">L115*AB116</f>
        <v>160.18541526283721</v>
      </c>
      <c r="M116" s="86">
        <f t="shared" ref="M116" si="338">M115*AC116</f>
        <v>182.68490175041887</v>
      </c>
      <c r="N116" s="86">
        <f t="shared" ref="N116" si="339">N115*AD116</f>
        <v>208.49943549324618</v>
      </c>
      <c r="O116" s="86">
        <f t="shared" ref="O116" si="340">O115*AE116</f>
        <v>238.13946915552663</v>
      </c>
      <c r="P116" s="86">
        <f t="shared" ref="P116" si="341">P115*AF116</f>
        <v>272.19734469012832</v>
      </c>
      <c r="Q116" s="86">
        <f t="shared" ref="Q116" si="342">Q115*AG116</f>
        <v>311.36094447311325</v>
      </c>
      <c r="R116" s="84">
        <f>RATE(12,,-E116,Q116)</f>
        <v>0.13922436581744799</v>
      </c>
      <c r="S116" s="59" t="s">
        <v>34</v>
      </c>
      <c r="T116" s="12">
        <v>0.56000000000000005</v>
      </c>
      <c r="U116" s="12">
        <v>0.56092161367703952</v>
      </c>
      <c r="V116" s="12">
        <v>0.56184474408938223</v>
      </c>
      <c r="W116" s="12">
        <v>0.56276939373317769</v>
      </c>
      <c r="X116" s="12">
        <v>0.56369556510868446</v>
      </c>
      <c r="Y116" s="12">
        <v>0.56462326072027491</v>
      </c>
      <c r="Z116" s="12">
        <v>0.56555248307644368</v>
      </c>
      <c r="AA116" s="12">
        <v>0.56648323468981299</v>
      </c>
      <c r="AB116" s="12">
        <v>0.56741551807714108</v>
      </c>
      <c r="AC116" s="12">
        <v>0.56834933575932756</v>
      </c>
      <c r="AD116" s="12">
        <v>0.56928469026142059</v>
      </c>
      <c r="AE116" s="12">
        <v>0.57022158411262425</v>
      </c>
      <c r="AF116" s="12">
        <v>0.57116001984630527</v>
      </c>
      <c r="AG116" s="12">
        <v>0.57209999999999905</v>
      </c>
    </row>
    <row r="117" spans="1:33" ht="15.75" thickBot="1" x14ac:dyDescent="0.3">
      <c r="A117" s="111"/>
      <c r="B117" s="60" t="s">
        <v>35</v>
      </c>
      <c r="C117" s="53"/>
      <c r="D117" s="87">
        <f>D115*T117</f>
        <v>45.030585599999995</v>
      </c>
      <c r="E117" s="87">
        <f t="shared" ref="E117" si="343">E115*U117</f>
        <v>51.00266144678055</v>
      </c>
      <c r="F117" s="87">
        <f t="shared" ref="F117" si="344">F115*V117</f>
        <v>57.654636839417421</v>
      </c>
      <c r="G117" s="87">
        <f t="shared" ref="G117" si="345">G115*W117</f>
        <v>65.220313011862373</v>
      </c>
      <c r="H117" s="87">
        <f t="shared" ref="H117" si="346">H115*X117</f>
        <v>73.831281209328438</v>
      </c>
      <c r="I117" s="87">
        <f t="shared" ref="I117" si="347">I115*Y117</f>
        <v>83.638932043836419</v>
      </c>
      <c r="J117" s="87">
        <f t="shared" ref="J117" si="348">J115*Z117</f>
        <v>94.817558403863217</v>
      </c>
      <c r="K117" s="87">
        <f t="shared" ref="K117" si="349">K115*AA117</f>
        <v>107.56796357139514</v>
      </c>
      <c r="L117" s="87">
        <f t="shared" ref="L117" si="350">L115*AB117</f>
        <v>122.12165981624045</v>
      </c>
      <c r="M117" s="87">
        <f t="shared" ref="M117" si="351">M115*AC117</f>
        <v>138.74575762802084</v>
      </c>
      <c r="N117" s="87">
        <f t="shared" ref="N117" si="352">N115*AD117</f>
        <v>157.74866332265802</v>
      </c>
      <c r="O117" s="87">
        <f t="shared" ref="O117" si="353">O115*AE117</f>
        <v>179.48672352204096</v>
      </c>
      <c r="P117" s="87">
        <f t="shared" ref="P117" si="354">P115*AF117</f>
        <v>204.37197954824276</v>
      </c>
      <c r="Q117" s="87">
        <f t="shared" ref="Q117" si="355">Q115*AG117</f>
        <v>232.88122380710658</v>
      </c>
      <c r="R117" s="85">
        <f>RATE(12,,-E117,Q117)</f>
        <v>0.13491099364303274</v>
      </c>
      <c r="S117" s="60" t="s">
        <v>35</v>
      </c>
      <c r="T117" s="12">
        <f>1-T116</f>
        <v>0.43999999999999995</v>
      </c>
      <c r="U117" s="12">
        <f t="shared" ref="U117" si="356">1-U116</f>
        <v>0.43907838632296048</v>
      </c>
      <c r="V117" s="12">
        <f t="shared" ref="V117" si="357">1-V116</f>
        <v>0.43815525591061777</v>
      </c>
      <c r="W117" s="12">
        <f t="shared" ref="W117" si="358">1-W116</f>
        <v>0.43723060626682231</v>
      </c>
      <c r="X117" s="12">
        <f t="shared" ref="X117" si="359">1-X116</f>
        <v>0.43630443489131554</v>
      </c>
      <c r="Y117" s="12">
        <f t="shared" ref="Y117" si="360">1-Y116</f>
        <v>0.43537673927972509</v>
      </c>
      <c r="Z117" s="12">
        <f t="shared" ref="Z117" si="361">1-Z116</f>
        <v>0.43444751692355632</v>
      </c>
      <c r="AA117" s="12">
        <f t="shared" ref="AA117" si="362">1-AA116</f>
        <v>0.43351676531018701</v>
      </c>
      <c r="AB117" s="12">
        <f t="shared" ref="AB117" si="363">1-AB116</f>
        <v>0.43258448192285892</v>
      </c>
      <c r="AC117" s="12">
        <f t="shared" ref="AC117" si="364">1-AC116</f>
        <v>0.43165066424067244</v>
      </c>
      <c r="AD117" s="12">
        <f t="shared" ref="AD117" si="365">1-AD116</f>
        <v>0.43071530973857941</v>
      </c>
      <c r="AE117" s="12">
        <f t="shared" ref="AE117" si="366">1-AE116</f>
        <v>0.42977841588737575</v>
      </c>
      <c r="AF117" s="12">
        <f t="shared" ref="AF117" si="367">1-AF116</f>
        <v>0.42883998015369473</v>
      </c>
      <c r="AG117" s="12">
        <f t="shared" ref="AG117" si="368">1-AG116</f>
        <v>0.42790000000000095</v>
      </c>
    </row>
    <row r="118" spans="1:33" ht="15.75" thickBot="1" x14ac:dyDescent="0.3">
      <c r="A118" s="1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21"/>
    </row>
    <row r="119" spans="1:33" x14ac:dyDescent="0.25">
      <c r="A119" s="110" t="s">
        <v>15</v>
      </c>
      <c r="B119" s="64" t="s">
        <v>16</v>
      </c>
      <c r="C119" s="54"/>
      <c r="D119" s="89">
        <f>D115*T119</f>
        <v>48.20319503999999</v>
      </c>
      <c r="E119" s="89">
        <f t="shared" ref="E119" si="369">E115*U119</f>
        <v>54.639144251999994</v>
      </c>
      <c r="F119" s="89">
        <f t="shared" ref="F119" si="370">F115*V119</f>
        <v>61.81456009706659</v>
      </c>
      <c r="G119" s="89">
        <f t="shared" ref="G119" si="371">G115*W119</f>
        <v>69.982202202469225</v>
      </c>
      <c r="H119" s="89">
        <f t="shared" ref="H119" si="372">H115*X119</f>
        <v>79.285911727781112</v>
      </c>
      <c r="I119" s="89">
        <f t="shared" ref="I119" si="373">I115*Y119</f>
        <v>89.891312285673607</v>
      </c>
      <c r="J119" s="89">
        <f t="shared" ref="J119" si="374">J115*Z119</f>
        <v>101.98924537933448</v>
      </c>
      <c r="K119" s="89">
        <f t="shared" ref="K119" si="375">K115*AA119</f>
        <v>115.79976870554681</v>
      </c>
      <c r="L119" s="89">
        <f t="shared" ref="L119" si="376">L115*AB119</f>
        <v>131.57681291570242</v>
      </c>
      <c r="M119" s="89">
        <f t="shared" ref="M119" si="377">M115*AC119</f>
        <v>149.61360922299528</v>
      </c>
      <c r="N119" s="89">
        <f t="shared" ref="N119" si="378">N115*AD119</f>
        <v>170.24902008803915</v>
      </c>
      <c r="O119" s="89">
        <f t="shared" ref="O119" si="379">O115*AE119</f>
        <v>193.87492867762464</v>
      </c>
      <c r="P119" s="89">
        <f t="shared" ref="P119" si="380">P115*AF119</f>
        <v>220.94487055266634</v>
      </c>
      <c r="Q119" s="89">
        <f t="shared" ref="Q119" si="381">Q115*AG119</f>
        <v>251.98412391374177</v>
      </c>
      <c r="R119" s="76">
        <f>RATE(12,,-E119,Q119)</f>
        <v>0.13585381453961348</v>
      </c>
      <c r="S119" s="64" t="s">
        <v>16</v>
      </c>
      <c r="T119" s="12">
        <v>0.47099999999999992</v>
      </c>
      <c r="U119" s="12">
        <v>0.47038461538461535</v>
      </c>
      <c r="V119" s="12">
        <v>0.46976923076923072</v>
      </c>
      <c r="W119" s="12">
        <v>0.46915384615384609</v>
      </c>
      <c r="X119" s="12">
        <v>0.46853846153846151</v>
      </c>
      <c r="Y119" s="12">
        <v>0.46792307692307689</v>
      </c>
      <c r="Z119" s="12">
        <v>0.46730769230769226</v>
      </c>
      <c r="AA119" s="12">
        <v>0.46669230769230763</v>
      </c>
      <c r="AB119" s="12">
        <v>0.46607692307692306</v>
      </c>
      <c r="AC119" s="12">
        <v>0.46546153846153843</v>
      </c>
      <c r="AD119" s="12">
        <v>0.4648461538461538</v>
      </c>
      <c r="AE119" s="12">
        <v>0.46423076923076922</v>
      </c>
      <c r="AF119" s="12">
        <v>0.4636153846153846</v>
      </c>
      <c r="AG119" s="12">
        <v>0.46299999999999997</v>
      </c>
    </row>
    <row r="120" spans="1:33" ht="15.75" thickBot="1" x14ac:dyDescent="0.3">
      <c r="A120" s="111"/>
      <c r="B120" s="65" t="s">
        <v>17</v>
      </c>
      <c r="C120" s="55"/>
      <c r="D120" s="90">
        <f>D115*T120</f>
        <v>54.139044960000014</v>
      </c>
      <c r="E120" s="90">
        <f t="shared" ref="E120" si="382">E115*U120</f>
        <v>61.519298147999997</v>
      </c>
      <c r="F120" s="90">
        <f t="shared" ref="F120" si="383">F115*V120</f>
        <v>69.770388529405608</v>
      </c>
      <c r="G120" s="90">
        <f t="shared" ref="G120" si="384">G115*W120</f>
        <v>79.18464951618958</v>
      </c>
      <c r="H120" s="90">
        <f t="shared" ref="H120" si="385">H115*X120</f>
        <v>89.933732412943641</v>
      </c>
      <c r="I120" s="90">
        <f t="shared" ref="I120" si="386">I115*Y120</f>
        <v>102.21571709354011</v>
      </c>
      <c r="J120" s="90">
        <f t="shared" ref="J120" si="387">J115*Z120</f>
        <v>116.25934555586691</v>
      </c>
      <c r="K120" s="90">
        <f t="shared" ref="K120" si="388">K115*AA120</f>
        <v>132.32895935974224</v>
      </c>
      <c r="L120" s="90">
        <f t="shared" ref="L120" si="389">L115*AB120</f>
        <v>150.73026216337524</v>
      </c>
      <c r="M120" s="90">
        <f t="shared" ref="M120" si="390">M115*AC120</f>
        <v>171.81705015544446</v>
      </c>
      <c r="N120" s="90">
        <f t="shared" ref="N120" si="391">N115*AD120</f>
        <v>195.99907872786505</v>
      </c>
      <c r="O120" s="90">
        <f t="shared" ref="O120" si="392">O115*AE120</f>
        <v>223.75126399994295</v>
      </c>
      <c r="P120" s="90">
        <f t="shared" ref="P120" si="393">P115*AF120</f>
        <v>255.62445368570479</v>
      </c>
      <c r="Q120" s="90">
        <f t="shared" ref="Q120" si="394">Q115*AG120</f>
        <v>292.25804436647809</v>
      </c>
      <c r="R120" s="77">
        <f>RATE(12,,-E120,Q120)</f>
        <v>0.13866575211784818</v>
      </c>
      <c r="S120" s="65" t="s">
        <v>17</v>
      </c>
      <c r="T120" s="12">
        <f>1-T119</f>
        <v>0.52900000000000014</v>
      </c>
      <c r="U120" s="12">
        <f t="shared" ref="U120" si="395">1-U119</f>
        <v>0.5296153846153846</v>
      </c>
      <c r="V120" s="12">
        <f t="shared" ref="V120" si="396">1-V119</f>
        <v>0.53023076923076928</v>
      </c>
      <c r="W120" s="12">
        <f t="shared" ref="W120" si="397">1-W119</f>
        <v>0.53084615384615397</v>
      </c>
      <c r="X120" s="12">
        <f t="shared" ref="X120" si="398">1-X119</f>
        <v>0.53146153846153843</v>
      </c>
      <c r="Y120" s="12">
        <f t="shared" ref="Y120" si="399">1-Y119</f>
        <v>0.53207692307692311</v>
      </c>
      <c r="Z120" s="12">
        <f t="shared" ref="Z120" si="400">1-Z119</f>
        <v>0.5326923076923078</v>
      </c>
      <c r="AA120" s="12">
        <f t="shared" ref="AA120" si="401">1-AA119</f>
        <v>0.53330769230769237</v>
      </c>
      <c r="AB120" s="12">
        <f t="shared" ref="AB120" si="402">1-AB119</f>
        <v>0.53392307692307694</v>
      </c>
      <c r="AC120" s="12">
        <f t="shared" ref="AC120" si="403">1-AC119</f>
        <v>0.53453846153846163</v>
      </c>
      <c r="AD120" s="12">
        <f t="shared" ref="AD120" si="404">1-AD119</f>
        <v>0.5351538461538462</v>
      </c>
      <c r="AE120" s="12">
        <f t="shared" ref="AE120" si="405">1-AE119</f>
        <v>0.53576923076923078</v>
      </c>
      <c r="AF120" s="12">
        <f t="shared" ref="AF120" si="406">1-AF119</f>
        <v>0.53638461538461546</v>
      </c>
      <c r="AG120" s="12">
        <f t="shared" ref="AG120" si="407">1-AG119</f>
        <v>0.53700000000000003</v>
      </c>
    </row>
    <row r="121" spans="1:33" ht="15.75" thickBot="1" x14ac:dyDescent="0.3">
      <c r="A121" s="1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21"/>
    </row>
    <row r="122" spans="1:33" x14ac:dyDescent="0.25">
      <c r="A122" s="110" t="s">
        <v>18</v>
      </c>
      <c r="B122" s="61" t="s">
        <v>19</v>
      </c>
      <c r="C122" s="56"/>
      <c r="D122" s="91">
        <f>D115*T122</f>
        <v>41.039238239999996</v>
      </c>
      <c r="E122" s="91">
        <f t="shared" ref="E122" si="408">E115*U122</f>
        <v>46.771301994221986</v>
      </c>
      <c r="F122" s="91">
        <f t="shared" ref="F122" si="409">F115*V122</f>
        <v>53.20092733286517</v>
      </c>
      <c r="G122" s="91">
        <f t="shared" ref="G122" si="410">G115*W122</f>
        <v>60.557734305475286</v>
      </c>
      <c r="H122" s="91">
        <f t="shared" ref="H122" si="411">H115*X122</f>
        <v>68.981459551508394</v>
      </c>
      <c r="I122" s="91">
        <f t="shared" ref="I122" si="412">I115*Y122</f>
        <v>78.633782236469457</v>
      </c>
      <c r="J122" s="91">
        <f t="shared" ref="J122" si="413">J115*Z122</f>
        <v>89.701904705538027</v>
      </c>
      <c r="K122" s="91">
        <f t="shared" ref="K122" si="414">K115*AA122</f>
        <v>102.40273898554811</v>
      </c>
      <c r="L122" s="91">
        <f t="shared" ref="L122" si="415">L115*AB122</f>
        <v>116.98780521775562</v>
      </c>
      <c r="M122" s="91">
        <f t="shared" ref="M122" si="416">M115*AC122</f>
        <v>133.74896729291729</v>
      </c>
      <c r="N122" s="91">
        <f t="shared" ref="N122" si="417">N115*AD122</f>
        <v>153.02515372971061</v>
      </c>
      <c r="O122" s="91">
        <f t="shared" ref="O122" si="418">O115*AE122</f>
        <v>175.21023887560548</v>
      </c>
      <c r="P122" s="91">
        <f t="shared" ref="P122" si="419">P115*AF122</f>
        <v>200.76229164018079</v>
      </c>
      <c r="Q122" s="91">
        <f t="shared" ref="Q122" si="420">Q115*AG122</f>
        <v>230.21443718253266</v>
      </c>
      <c r="R122" s="78">
        <f>RATE(12,,-E122,Q122)</f>
        <v>0.14203502812811408</v>
      </c>
      <c r="S122" s="61" t="s">
        <v>19</v>
      </c>
      <c r="T122" s="12">
        <v>0.40099999999999997</v>
      </c>
      <c r="U122" s="12">
        <v>0.40265090533119946</v>
      </c>
      <c r="V122" s="12">
        <v>0.40430860739160734</v>
      </c>
      <c r="W122" s="12">
        <v>0.40597313416316017</v>
      </c>
      <c r="X122" s="12">
        <v>0.40764451374299493</v>
      </c>
      <c r="Y122" s="12">
        <v>0.40932277434392395</v>
      </c>
      <c r="Z122" s="12">
        <v>0.41100794429491083</v>
      </c>
      <c r="AA122" s="12">
        <v>0.4127000520415488</v>
      </c>
      <c r="AB122" s="12">
        <v>0.41439912614654062</v>
      </c>
      <c r="AC122" s="12">
        <v>0.41610519529018092</v>
      </c>
      <c r="AD122" s="12">
        <v>0.41781828827084017</v>
      </c>
      <c r="AE122" s="12">
        <v>0.4195384340054511</v>
      </c>
      <c r="AF122" s="12">
        <v>0.4212656615299965</v>
      </c>
      <c r="AG122" s="12">
        <v>0.42299999999999938</v>
      </c>
    </row>
    <row r="123" spans="1:33" ht="15.75" thickBot="1" x14ac:dyDescent="0.3">
      <c r="A123" s="111"/>
      <c r="B123" s="63" t="s">
        <v>20</v>
      </c>
      <c r="C123" s="51"/>
      <c r="D123" s="92">
        <f>D115*T123</f>
        <v>61.303001760000001</v>
      </c>
      <c r="E123" s="92">
        <f t="shared" ref="E123" si="421">E115*U123</f>
        <v>69.387140405778013</v>
      </c>
      <c r="F123" s="92">
        <f t="shared" ref="F123" si="422">F115*V123</f>
        <v>78.384021293607034</v>
      </c>
      <c r="G123" s="92">
        <f t="shared" ref="G123" si="423">G115*W123</f>
        <v>88.609117413183512</v>
      </c>
      <c r="H123" s="92">
        <f t="shared" ref="H123" si="424">H115*X123</f>
        <v>100.23818458921637</v>
      </c>
      <c r="I123" s="92">
        <f t="shared" ref="I123" si="425">I115*Y123</f>
        <v>113.47324714274426</v>
      </c>
      <c r="J123" s="92">
        <f t="shared" ref="J123" si="426">J115*Z123</f>
        <v>128.54668622966335</v>
      </c>
      <c r="K123" s="92">
        <f t="shared" ref="K123" si="427">K115*AA123</f>
        <v>145.72598907974097</v>
      </c>
      <c r="L123" s="92">
        <f t="shared" ref="L123" si="428">L115*AB123</f>
        <v>165.31926986132206</v>
      </c>
      <c r="M123" s="92">
        <f t="shared" ref="M123" si="429">M115*AC123</f>
        <v>187.68169208552246</v>
      </c>
      <c r="N123" s="92">
        <f t="shared" ref="N123" si="430">N115*AD123</f>
        <v>213.22294508619362</v>
      </c>
      <c r="O123" s="92">
        <f t="shared" ref="O123" si="431">O115*AE123</f>
        <v>242.4159538019621</v>
      </c>
      <c r="P123" s="92">
        <f t="shared" ref="P123" si="432">P115*AF123</f>
        <v>275.80703259819029</v>
      </c>
      <c r="Q123" s="92">
        <f t="shared" ref="Q123" si="433">Q115*AG123</f>
        <v>314.02773109768719</v>
      </c>
      <c r="R123" s="79">
        <f>RATE(12,,-E123,Q123)</f>
        <v>0.13407232129849264</v>
      </c>
      <c r="S123" s="63" t="s">
        <v>20</v>
      </c>
      <c r="T123" s="12">
        <f>1-T122</f>
        <v>0.59899999999999998</v>
      </c>
      <c r="U123" s="12">
        <f t="shared" ref="U123" si="434">1-U122</f>
        <v>0.59734909466880048</v>
      </c>
      <c r="V123" s="12">
        <f t="shared" ref="V123" si="435">1-V122</f>
        <v>0.59569139260839266</v>
      </c>
      <c r="W123" s="12">
        <f t="shared" ref="W123" si="436">1-W122</f>
        <v>0.59402686583683983</v>
      </c>
      <c r="X123" s="12">
        <f t="shared" ref="X123" si="437">1-X122</f>
        <v>0.59235548625700507</v>
      </c>
      <c r="Y123" s="12">
        <f t="shared" ref="Y123" si="438">1-Y122</f>
        <v>0.59067722565607605</v>
      </c>
      <c r="Z123" s="12">
        <f t="shared" ref="Z123" si="439">1-Z122</f>
        <v>0.58899205570508917</v>
      </c>
      <c r="AA123" s="12">
        <f t="shared" ref="AA123" si="440">1-AA122</f>
        <v>0.5872999479584512</v>
      </c>
      <c r="AB123" s="12">
        <f t="shared" ref="AB123" si="441">1-AB122</f>
        <v>0.58560087385345938</v>
      </c>
      <c r="AC123" s="12">
        <f t="shared" ref="AC123" si="442">1-AC122</f>
        <v>0.58389480470981914</v>
      </c>
      <c r="AD123" s="12">
        <f t="shared" ref="AD123" si="443">1-AD122</f>
        <v>0.58218171172915989</v>
      </c>
      <c r="AE123" s="12">
        <f t="shared" ref="AE123" si="444">1-AE122</f>
        <v>0.5804615659945489</v>
      </c>
      <c r="AF123" s="12">
        <f t="shared" ref="AF123" si="445">1-AF122</f>
        <v>0.57873433847000344</v>
      </c>
      <c r="AG123" s="12">
        <f t="shared" ref="AG123" si="446">1-AG122</f>
        <v>0.57700000000000062</v>
      </c>
    </row>
    <row r="124" spans="1:33" ht="15.75" thickBot="1" x14ac:dyDescent="0.3">
      <c r="A124" s="2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21"/>
    </row>
    <row r="125" spans="1:33" x14ac:dyDescent="0.25">
      <c r="A125" s="110" t="s">
        <v>14</v>
      </c>
      <c r="B125" s="66" t="s">
        <v>21</v>
      </c>
      <c r="C125" s="57"/>
      <c r="D125" s="93">
        <f>D115*T125</f>
        <v>25.585560000000001</v>
      </c>
      <c r="E125" s="93">
        <f t="shared" ref="E125" si="447">E115*U125</f>
        <v>29.220345631734464</v>
      </c>
      <c r="F125" s="93">
        <f t="shared" ref="F125" si="448">F115*V125</f>
        <v>33.306986748548191</v>
      </c>
      <c r="G125" s="93">
        <f t="shared" ref="G125" si="449">G115*W125</f>
        <v>37.992337350934839</v>
      </c>
      <c r="H125" s="93">
        <f t="shared" ref="H125" si="450">H115*X125</f>
        <v>43.367963301608327</v>
      </c>
      <c r="I125" s="93">
        <f t="shared" ref="I125" si="451">I115*Y125</f>
        <v>49.540007262903401</v>
      </c>
      <c r="J125" s="93">
        <f t="shared" ref="J125" si="452">J115*Z125</f>
        <v>56.631598218938649</v>
      </c>
      <c r="K125" s="93">
        <f t="shared" ref="K125" si="453">K115*AA125</f>
        <v>64.785673678361434</v>
      </c>
      <c r="L125" s="93">
        <f t="shared" ref="L125" si="454">L115*AB125</f>
        <v>74.168287655053206</v>
      </c>
      <c r="M125" s="93">
        <f t="shared" ref="M125" si="455">M115*AC125</f>
        <v>84.972490892560387</v>
      </c>
      <c r="N125" s="93">
        <f t="shared" ref="N125" si="456">N115*AD125</f>
        <v>97.422885687029478</v>
      </c>
      <c r="O125" s="93">
        <f t="shared" ref="O125" si="457">O115*AE125</f>
        <v>111.78097656241268</v>
      </c>
      <c r="P125" s="93">
        <f t="shared" ref="P125" si="458">P115*AF125</f>
        <v>128.35146054772306</v>
      </c>
      <c r="Q125" s="93">
        <f t="shared" ref="Q125" si="459">Q115*AG125</f>
        <v>147.48962760393965</v>
      </c>
      <c r="R125" s="80">
        <f t="shared" ref="R125:R130" si="460">RATE(12,,-E125,Q125)</f>
        <v>0.14443116918822729</v>
      </c>
      <c r="S125" s="66" t="s">
        <v>21</v>
      </c>
      <c r="T125" s="12">
        <v>0.25</v>
      </c>
      <c r="U125" s="12">
        <v>0.25155593539307364</v>
      </c>
      <c r="V125" s="12">
        <v>0.25312155452593693</v>
      </c>
      <c r="W125" s="12">
        <v>0.25469691766768382</v>
      </c>
      <c r="X125" s="12">
        <v>0.25628208546250747</v>
      </c>
      <c r="Y125" s="12">
        <v>0.2578771189320348</v>
      </c>
      <c r="Z125" s="12">
        <v>0.25948207947767565</v>
      </c>
      <c r="AA125" s="12">
        <v>0.2610970288829863</v>
      </c>
      <c r="AB125" s="12">
        <v>0.26272202931604799</v>
      </c>
      <c r="AC125" s="12">
        <v>0.26435714333185978</v>
      </c>
      <c r="AD125" s="12">
        <v>0.26600243387474731</v>
      </c>
      <c r="AE125" s="12">
        <v>0.26765796428078514</v>
      </c>
      <c r="AF125" s="12">
        <v>0.26932379828023517</v>
      </c>
      <c r="AG125" s="12">
        <v>0.27100000000000013</v>
      </c>
    </row>
    <row r="126" spans="1:33" x14ac:dyDescent="0.25">
      <c r="A126" s="112"/>
      <c r="B126" s="67" t="s">
        <v>22</v>
      </c>
      <c r="C126" s="48"/>
      <c r="D126" s="94">
        <f>D115*T126</f>
        <v>38.890051200000002</v>
      </c>
      <c r="E126" s="94">
        <f t="shared" ref="E126" si="461">E115*U126</f>
        <v>44.24589944519213</v>
      </c>
      <c r="F126" s="94">
        <f t="shared" ref="F126" si="462">F115*V126</f>
        <v>50.242022654424701</v>
      </c>
      <c r="G126" s="94">
        <f t="shared" ref="G126" si="463">G115*W126</f>
        <v>57.091555394991246</v>
      </c>
      <c r="H126" s="94">
        <f t="shared" ref="H126" si="464">H115*X126</f>
        <v>64.921564988855067</v>
      </c>
      <c r="I126" s="94">
        <f t="shared" ref="I126" si="465">I115*Y126</f>
        <v>73.878847326415098</v>
      </c>
      <c r="J126" s="94">
        <f t="shared" ref="J126" si="466">J115*Z126</f>
        <v>84.133112228426199</v>
      </c>
      <c r="K126" s="94">
        <f t="shared" ref="K126" si="467">K115*AA126</f>
        <v>95.880702399736236</v>
      </c>
      <c r="L126" s="94">
        <f t="shared" ref="L126" si="468">L115*AB126</f>
        <v>109.34893852261219</v>
      </c>
      <c r="M126" s="94">
        <f t="shared" ref="M126" si="469">M115*AC126</f>
        <v>124.80119962779455</v>
      </c>
      <c r="N126" s="94">
        <f t="shared" ref="N126" si="470">N115*AD126</f>
        <v>142.54286754076804</v>
      </c>
      <c r="O126" s="94">
        <f t="shared" ref="O126" si="471">O115*AE126</f>
        <v>162.9282875140824</v>
      </c>
      <c r="P126" s="94">
        <f t="shared" ref="P126" si="472">P115*AF126</f>
        <v>186.36892482368526</v>
      </c>
      <c r="Q126" s="94">
        <f t="shared" ref="Q126" si="473">Q115*AG126</f>
        <v>213.3429299658462</v>
      </c>
      <c r="R126" s="81">
        <f t="shared" si="460"/>
        <v>0.14007590968913314</v>
      </c>
      <c r="S126" s="67" t="s">
        <v>22</v>
      </c>
      <c r="T126" s="12">
        <v>0.38</v>
      </c>
      <c r="U126" s="12">
        <v>0.38090988938047371</v>
      </c>
      <c r="V126" s="12">
        <v>0.38182195744169661</v>
      </c>
      <c r="W126" s="12">
        <v>0.38273620940040159</v>
      </c>
      <c r="X126" s="12">
        <v>0.38365265048581265</v>
      </c>
      <c r="Y126" s="12">
        <v>0.38457128593967477</v>
      </c>
      <c r="Z126" s="12">
        <v>0.38549212101628438</v>
      </c>
      <c r="AA126" s="12">
        <v>0.38641516098251855</v>
      </c>
      <c r="AB126" s="12">
        <v>0.38734041111786593</v>
      </c>
      <c r="AC126" s="12">
        <v>0.38826787671445667</v>
      </c>
      <c r="AD126" s="12">
        <v>0.38919756307709236</v>
      </c>
      <c r="AE126" s="12">
        <v>0.39012947552327681</v>
      </c>
      <c r="AF126" s="12">
        <v>0.3910636193832463</v>
      </c>
      <c r="AG126" s="12">
        <v>0.39200000000000002</v>
      </c>
    </row>
    <row r="127" spans="1:33" x14ac:dyDescent="0.25">
      <c r="A127" s="112"/>
      <c r="B127" s="68" t="s">
        <v>23</v>
      </c>
      <c r="C127" s="48"/>
      <c r="D127" s="95">
        <f>D126*T127</f>
        <v>13.611517919999995</v>
      </c>
      <c r="E127" s="95">
        <f t="shared" ref="E127" si="474">E126*U127</f>
        <v>15.458892685355293</v>
      </c>
      <c r="F127" s="95">
        <f t="shared" ref="F127" si="475">F126*V127</f>
        <v>17.523053193918617</v>
      </c>
      <c r="G127" s="95">
        <f t="shared" ref="G127" si="476">G126*W127</f>
        <v>19.877046300543853</v>
      </c>
      <c r="H127" s="95">
        <f t="shared" ref="H127" si="477">H126*X127</f>
        <v>22.563489467863427</v>
      </c>
      <c r="I127" s="95">
        <f t="shared" ref="I127" si="478">I126*Y127</f>
        <v>25.631540283564021</v>
      </c>
      <c r="J127" s="95">
        <f t="shared" ref="J127" si="479">J126*Z127</f>
        <v>29.137940946430209</v>
      </c>
      <c r="K127" s="95">
        <f t="shared" ref="K127" si="480">K126*AA127</f>
        <v>33.148235925040375</v>
      </c>
      <c r="L127" s="95">
        <f t="shared" ref="L127" si="481">L126*AB127</f>
        <v>37.738192533195374</v>
      </c>
      <c r="M127" s="95">
        <f t="shared" ref="M127" si="482">M126*AC127</f>
        <v>42.995459448970102</v>
      </c>
      <c r="N127" s="95">
        <f t="shared" ref="N127" si="483">N126*AD127</f>
        <v>49.021504455731481</v>
      </c>
      <c r="O127" s="95">
        <f t="shared" ref="O127" si="484">O126*AE127</f>
        <v>55.933880086655513</v>
      </c>
      <c r="P127" s="95">
        <f t="shared" ref="P127" si="485">P126*AF127</f>
        <v>63.868874627918586</v>
      </c>
      <c r="Q127" s="95">
        <f t="shared" ref="Q127" si="486">Q126*AG127</f>
        <v>72.984616341315942</v>
      </c>
      <c r="R127" s="81">
        <f t="shared" si="460"/>
        <v>0.13807551253580408</v>
      </c>
      <c r="S127" s="68" t="s">
        <v>23</v>
      </c>
      <c r="T127" s="74">
        <v>0.34999999999999987</v>
      </c>
      <c r="U127" s="74">
        <v>0.34938588387166564</v>
      </c>
      <c r="V127" s="74">
        <v>0.34877284528224306</v>
      </c>
      <c r="W127" s="74">
        <v>0.34816088234106346</v>
      </c>
      <c r="X127" s="74">
        <v>0.34754999316077562</v>
      </c>
      <c r="Y127" s="74">
        <v>0.34694017585733994</v>
      </c>
      <c r="Z127" s="74">
        <v>0.34633142855002247</v>
      </c>
      <c r="AA127" s="74">
        <v>0.34572374936138933</v>
      </c>
      <c r="AB127" s="74">
        <v>0.34511713641730069</v>
      </c>
      <c r="AC127" s="74">
        <v>0.34451158784690528</v>
      </c>
      <c r="AD127" s="74">
        <v>0.34390710178263434</v>
      </c>
      <c r="AE127" s="74">
        <v>0.34330367636019604</v>
      </c>
      <c r="AF127" s="74">
        <v>0.34270130971856966</v>
      </c>
      <c r="AG127" s="74">
        <v>0.34209999999999979</v>
      </c>
    </row>
    <row r="128" spans="1:33" x14ac:dyDescent="0.25">
      <c r="A128" s="112"/>
      <c r="B128" s="68" t="s">
        <v>24</v>
      </c>
      <c r="C128" s="48"/>
      <c r="D128" s="95">
        <f>D126*T128</f>
        <v>10.889214336000002</v>
      </c>
      <c r="E128" s="95">
        <f t="shared" ref="E128" si="487">E126*U128</f>
        <v>12.432176911930551</v>
      </c>
      <c r="F128" s="95">
        <f t="shared" ref="F128" si="488">F126*V128</f>
        <v>14.166331190022431</v>
      </c>
      <c r="G128" s="95">
        <f t="shared" ref="G128" si="489">G126*W128</f>
        <v>16.153932843683346</v>
      </c>
      <c r="H128" s="95">
        <f t="shared" ref="H128" si="490">H126*X128</f>
        <v>18.433656931555173</v>
      </c>
      <c r="I128" s="95">
        <f t="shared" ref="I128" si="491">I126*Y128</f>
        <v>21.050322478927107</v>
      </c>
      <c r="J128" s="95">
        <f t="shared" ref="J128" si="492">J126*Z128</f>
        <v>24.055906065486411</v>
      </c>
      <c r="K128" s="95">
        <f t="shared" ref="K128" si="493">K126*AA128</f>
        <v>27.510728687928193</v>
      </c>
      <c r="L128" s="95">
        <f t="shared" ref="L128" si="494">L126*AB128</f>
        <v>31.48484653511116</v>
      </c>
      <c r="M128" s="95">
        <f t="shared" ref="M128" si="495">M126*AC128</f>
        <v>36.059681907191383</v>
      </c>
      <c r="N128" s="95">
        <f t="shared" ref="N128" si="496">N126*AD128</f>
        <v>41.329937156926007</v>
      </c>
      <c r="O128" s="95">
        <f t="shared" ref="O128" si="497">O126*AE128</f>
        <v>47.405842435229644</v>
      </c>
      <c r="P128" s="95">
        <f t="shared" ref="P128" si="498">P126*AF128</f>
        <v>54.415797428895161</v>
      </c>
      <c r="Q128" s="95">
        <f t="shared" ref="Q128" si="499">Q126*AG128</f>
        <v>62.509478479992858</v>
      </c>
      <c r="R128" s="81">
        <f t="shared" si="460"/>
        <v>0.1440628703943812</v>
      </c>
      <c r="S128" s="68" t="s">
        <v>24</v>
      </c>
      <c r="T128" s="74">
        <v>0.28000000000000003</v>
      </c>
      <c r="U128" s="74">
        <v>0.28097918830490543</v>
      </c>
      <c r="V128" s="74">
        <v>0.28196180093029821</v>
      </c>
      <c r="W128" s="74">
        <v>0.28294784985137333</v>
      </c>
      <c r="X128" s="74">
        <v>0.28393734708520407</v>
      </c>
      <c r="Y128" s="74">
        <v>0.28493030469088876</v>
      </c>
      <c r="Z128" s="74">
        <v>0.28592673476969749</v>
      </c>
      <c r="AA128" s="74">
        <v>0.28692664946521995</v>
      </c>
      <c r="AB128" s="74">
        <v>0.28793006096351298</v>
      </c>
      <c r="AC128" s="74">
        <v>0.28893698149324931</v>
      </c>
      <c r="AD128" s="74">
        <v>0.28994742332586665</v>
      </c>
      <c r="AE128" s="74">
        <v>0.29096139877571725</v>
      </c>
      <c r="AF128" s="74">
        <v>0.29197892020021765</v>
      </c>
      <c r="AG128" s="74">
        <v>0.29299999999999965</v>
      </c>
    </row>
    <row r="129" spans="1:33" x14ac:dyDescent="0.25">
      <c r="A129" s="112"/>
      <c r="B129" s="68" t="s">
        <v>25</v>
      </c>
      <c r="C129" s="48"/>
      <c r="D129" s="95">
        <f>D126*T129</f>
        <v>14.389318944000005</v>
      </c>
      <c r="E129" s="95">
        <f t="shared" ref="E129" si="500">E126*U129</f>
        <v>16.354829847906291</v>
      </c>
      <c r="F129" s="95">
        <f t="shared" ref="F129" si="501">F126*V129</f>
        <v>18.552638270483655</v>
      </c>
      <c r="G129" s="95">
        <f t="shared" ref="G129" si="502">G126*W129</f>
        <v>21.060576250764047</v>
      </c>
      <c r="H129" s="95">
        <f t="shared" ref="H129" si="503">H126*X129</f>
        <v>23.92441858943646</v>
      </c>
      <c r="I129" s="95">
        <f t="shared" ref="I129" si="504">I126*Y129</f>
        <v>27.196984563923969</v>
      </c>
      <c r="J129" s="95">
        <f t="shared" ref="J129" si="505">J126*Z129</f>
        <v>30.939265216509579</v>
      </c>
      <c r="K129" s="95">
        <f t="shared" ref="K129" si="506">K126*AA129</f>
        <v>35.221737786767676</v>
      </c>
      <c r="L129" s="95">
        <f t="shared" ref="L129" si="507">L126*AB129</f>
        <v>40.12589945430566</v>
      </c>
      <c r="M129" s="95">
        <f t="shared" ref="M129" si="508">M126*AC129</f>
        <v>45.746058271633061</v>
      </c>
      <c r="N129" s="95">
        <f t="shared" ref="N129" si="509">N126*AD129</f>
        <v>52.191425928110547</v>
      </c>
      <c r="O129" s="95">
        <f t="shared" ref="O129" si="510">O126*AE129</f>
        <v>59.588564992197234</v>
      </c>
      <c r="P129" s="95">
        <f t="shared" ref="P129" si="511">P126*AF129</f>
        <v>68.084252766871529</v>
      </c>
      <c r="Q129" s="95">
        <f t="shared" ref="Q129" si="512">Q126*AG129</f>
        <v>77.848835144537389</v>
      </c>
      <c r="R129" s="81">
        <f t="shared" si="460"/>
        <v>0.1388516989948578</v>
      </c>
      <c r="S129" s="68" t="s">
        <v>25</v>
      </c>
      <c r="T129" s="74">
        <f>1-SUM(T127:T128)</f>
        <v>0.37000000000000011</v>
      </c>
      <c r="U129" s="74">
        <f t="shared" ref="U129" si="513">1-SUM(U127:U128)</f>
        <v>0.36963492782342899</v>
      </c>
      <c r="V129" s="74">
        <f t="shared" ref="V129" si="514">1-SUM(V127:V128)</f>
        <v>0.36926535378745873</v>
      </c>
      <c r="W129" s="74">
        <f t="shared" ref="W129" si="515">1-SUM(W127:W128)</f>
        <v>0.36889126780756321</v>
      </c>
      <c r="X129" s="74">
        <f t="shared" ref="X129" si="516">1-SUM(X127:X128)</f>
        <v>0.36851265975402026</v>
      </c>
      <c r="Y129" s="74">
        <f t="shared" ref="Y129" si="517">1-SUM(Y127:Y128)</f>
        <v>0.3681295194517713</v>
      </c>
      <c r="Z129" s="74">
        <f t="shared" ref="Z129" si="518">1-SUM(Z127:Z128)</f>
        <v>0.36774183668028004</v>
      </c>
      <c r="AA129" s="74">
        <f t="shared" ref="AA129" si="519">1-SUM(AA127:AA128)</f>
        <v>0.36734960117339077</v>
      </c>
      <c r="AB129" s="74">
        <f t="shared" ref="AB129" si="520">1-SUM(AB127:AB128)</f>
        <v>0.36695280261918639</v>
      </c>
      <c r="AC129" s="74">
        <f t="shared" ref="AC129" si="521">1-SUM(AC127:AC128)</f>
        <v>0.36655143065984541</v>
      </c>
      <c r="AD129" s="74">
        <f t="shared" ref="AD129" si="522">1-SUM(AD127:AD128)</f>
        <v>0.36614547489149896</v>
      </c>
      <c r="AE129" s="74">
        <f t="shared" ref="AE129" si="523">1-SUM(AE127:AE128)</f>
        <v>0.36573492486408665</v>
      </c>
      <c r="AF129" s="74">
        <f t="shared" ref="AF129" si="524">1-SUM(AF127:AF128)</f>
        <v>0.36531977008121275</v>
      </c>
      <c r="AG129" s="74">
        <f t="shared" ref="AG129" si="525">1-SUM(AG127:AG128)</f>
        <v>0.36490000000000056</v>
      </c>
    </row>
    <row r="130" spans="1:33" ht="15.75" thickBot="1" x14ac:dyDescent="0.3">
      <c r="A130" s="111"/>
      <c r="B130" s="69" t="s">
        <v>26</v>
      </c>
      <c r="C130" s="58"/>
      <c r="D130" s="96">
        <f>D115*T130</f>
        <v>37.866628800000001</v>
      </c>
      <c r="E130" s="96">
        <f t="shared" ref="E130" si="526">E115*U130</f>
        <v>42.692197323073415</v>
      </c>
      <c r="F130" s="96">
        <f t="shared" ref="F130" si="527">F115*V130</f>
        <v>48.035939223499305</v>
      </c>
      <c r="G130" s="96">
        <f t="shared" ref="G130" si="528">G115*W130</f>
        <v>54.082958972732705</v>
      </c>
      <c r="H130" s="96">
        <f t="shared" ref="H130" si="529">H115*X130</f>
        <v>60.930115850261373</v>
      </c>
      <c r="I130" s="96">
        <f t="shared" ref="I130" si="530">I115*Y130</f>
        <v>68.6881747898952</v>
      </c>
      <c r="J130" s="96">
        <f t="shared" ref="J130" si="531">J115*Z130</f>
        <v>77.483880487836529</v>
      </c>
      <c r="K130" s="96">
        <f t="shared" ref="K130" si="532">K115*AA130</f>
        <v>87.462351987191397</v>
      </c>
      <c r="L130" s="96">
        <f t="shared" ref="L130" si="533">L115*AB130</f>
        <v>98.78984890141227</v>
      </c>
      <c r="M130" s="96">
        <f t="shared" ref="M130" si="534">M115*AC130</f>
        <v>111.6569688580848</v>
      </c>
      <c r="N130" s="96">
        <f t="shared" ref="N130" si="535">N115*AD130</f>
        <v>126.28234558810671</v>
      </c>
      <c r="O130" s="96">
        <f t="shared" ref="O130" si="536">O115*AE130</f>
        <v>142.91692860107253</v>
      </c>
      <c r="P130" s="96">
        <f t="shared" ref="P130" si="537">P115*AF130</f>
        <v>161.84893886696284</v>
      </c>
      <c r="Q130" s="96">
        <f t="shared" ref="Q130" si="538">Q115*AG130</f>
        <v>183.40961071043401</v>
      </c>
      <c r="R130" s="82">
        <f t="shared" si="460"/>
        <v>0.12916168139610118</v>
      </c>
      <c r="S130" s="69" t="s">
        <v>26</v>
      </c>
      <c r="T130" s="12">
        <f>1-SUM(T125+T126)</f>
        <v>0.37</v>
      </c>
      <c r="U130" s="12">
        <f t="shared" ref="U130:AG130" si="539">1-SUM(U125+U126)</f>
        <v>0.36753417522645271</v>
      </c>
      <c r="V130" s="12">
        <f t="shared" si="539"/>
        <v>0.36505648803236646</v>
      </c>
      <c r="W130" s="12">
        <f t="shared" si="539"/>
        <v>0.36256687293191459</v>
      </c>
      <c r="X130" s="12">
        <f t="shared" si="539"/>
        <v>0.36006526405167993</v>
      </c>
      <c r="Y130" s="12">
        <f t="shared" si="539"/>
        <v>0.35755159512829038</v>
      </c>
      <c r="Z130" s="12">
        <f t="shared" si="539"/>
        <v>0.35502579950603996</v>
      </c>
      <c r="AA130" s="12">
        <f t="shared" si="539"/>
        <v>0.35248781013449515</v>
      </c>
      <c r="AB130" s="12">
        <f t="shared" si="539"/>
        <v>0.34993755956608608</v>
      </c>
      <c r="AC130" s="12">
        <f t="shared" si="539"/>
        <v>0.3473749799536836</v>
      </c>
      <c r="AD130" s="12">
        <f t="shared" si="539"/>
        <v>0.34480000304816039</v>
      </c>
      <c r="AE130" s="12">
        <f t="shared" si="539"/>
        <v>0.34221256019593804</v>
      </c>
      <c r="AF130" s="12">
        <f t="shared" si="539"/>
        <v>0.33961258233651859</v>
      </c>
      <c r="AG130" s="12">
        <f t="shared" si="539"/>
        <v>0.33699999999999986</v>
      </c>
    </row>
    <row r="131" spans="1:33" ht="15.75" thickBot="1" x14ac:dyDescent="0.3">
      <c r="A131" s="2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21"/>
    </row>
    <row r="132" spans="1:33" x14ac:dyDescent="0.25">
      <c r="A132" s="113" t="s">
        <v>27</v>
      </c>
      <c r="B132" s="61" t="s">
        <v>28</v>
      </c>
      <c r="C132" s="56"/>
      <c r="D132" s="91">
        <f>D115*T132</f>
        <v>41.039238239999996</v>
      </c>
      <c r="E132" s="91">
        <f t="shared" ref="E132" si="540">E115*U132</f>
        <v>46.771301994221986</v>
      </c>
      <c r="F132" s="91">
        <f t="shared" ref="F132" si="541">F115*V132</f>
        <v>53.20092733286517</v>
      </c>
      <c r="G132" s="91">
        <f t="shared" ref="G132" si="542">G115*W132</f>
        <v>60.557734305475286</v>
      </c>
      <c r="H132" s="91">
        <f t="shared" ref="H132" si="543">H115*X132</f>
        <v>68.981459551508394</v>
      </c>
      <c r="I132" s="91">
        <f t="shared" ref="I132" si="544">I115*Y132</f>
        <v>78.633782236469457</v>
      </c>
      <c r="J132" s="91">
        <f t="shared" ref="J132" si="545">J115*Z132</f>
        <v>89.701904705538027</v>
      </c>
      <c r="K132" s="91">
        <f t="shared" ref="K132" si="546">K115*AA132</f>
        <v>102.40273898554811</v>
      </c>
      <c r="L132" s="91">
        <f t="shared" ref="L132" si="547">L115*AB132</f>
        <v>116.98780521775562</v>
      </c>
      <c r="M132" s="91">
        <f t="shared" ref="M132" si="548">M115*AC132</f>
        <v>133.74896729291729</v>
      </c>
      <c r="N132" s="91">
        <f t="shared" ref="N132" si="549">N115*AD132</f>
        <v>153.02515372971061</v>
      </c>
      <c r="O132" s="91">
        <f t="shared" ref="O132" si="550">O115*AE132</f>
        <v>175.21023887560548</v>
      </c>
      <c r="P132" s="91">
        <f t="shared" ref="P132" si="551">P115*AF132</f>
        <v>200.76229164018079</v>
      </c>
      <c r="Q132" s="91">
        <f t="shared" ref="Q132" si="552">Q115*AG132</f>
        <v>230.21443718253266</v>
      </c>
      <c r="R132" s="78">
        <f>RATE(12,,-E132,Q132)</f>
        <v>0.14203502812811408</v>
      </c>
      <c r="S132" s="61" t="s">
        <v>28</v>
      </c>
      <c r="T132" s="12">
        <v>0.40099999999999997</v>
      </c>
      <c r="U132" s="12">
        <v>0.40265090533119946</v>
      </c>
      <c r="V132" s="12">
        <v>0.40430860739160734</v>
      </c>
      <c r="W132" s="12">
        <v>0.40597313416316017</v>
      </c>
      <c r="X132" s="12">
        <v>0.40764451374299493</v>
      </c>
      <c r="Y132" s="12">
        <v>0.40932277434392395</v>
      </c>
      <c r="Z132" s="12">
        <v>0.41100794429491083</v>
      </c>
      <c r="AA132" s="12">
        <v>0.4127000520415488</v>
      </c>
      <c r="AB132" s="12">
        <v>0.41439912614654062</v>
      </c>
      <c r="AC132" s="12">
        <v>0.41610519529018092</v>
      </c>
      <c r="AD132" s="12">
        <v>0.41781828827084017</v>
      </c>
      <c r="AE132" s="12">
        <v>0.4195384340054511</v>
      </c>
      <c r="AF132" s="12">
        <v>0.4212656615299965</v>
      </c>
      <c r="AG132" s="12">
        <v>0.42299999999999938</v>
      </c>
    </row>
    <row r="133" spans="1:33" x14ac:dyDescent="0.25">
      <c r="A133" s="114"/>
      <c r="B133" s="62" t="s">
        <v>29</v>
      </c>
      <c r="C133" s="47"/>
      <c r="D133" s="97">
        <f>D115*T133</f>
        <v>44.10950544</v>
      </c>
      <c r="E133" s="97">
        <f t="shared" ref="E133" si="553">E115*U133</f>
        <v>50.161437409328755</v>
      </c>
      <c r="F133" s="97">
        <f t="shared" ref="F133" si="554">F115*V133</f>
        <v>56.933427695368955</v>
      </c>
      <c r="G133" s="97">
        <f t="shared" ref="G133" si="555">G115*W133</f>
        <v>64.665905446980631</v>
      </c>
      <c r="H133" s="97">
        <f t="shared" ref="H133" si="556">H115*X133</f>
        <v>73.501421723425352</v>
      </c>
      <c r="I133" s="97">
        <f t="shared" ref="I133" si="557">I115*Y133</f>
        <v>83.604593891091028</v>
      </c>
      <c r="J133" s="97">
        <f t="shared" ref="J133" si="558">J115*Z133</f>
        <v>95.165658428005415</v>
      </c>
      <c r="K133" s="97">
        <f t="shared" ref="K133" si="559">K115*AA133</f>
        <v>108.40461729565165</v>
      </c>
      <c r="L133" s="97">
        <f t="shared" ref="L133" si="560">L115*AB133</f>
        <v>123.57608056995362</v>
      </c>
      <c r="M133" s="97">
        <f t="shared" ref="M133" si="561">M115*AC133</f>
        <v>140.97492638822547</v>
      </c>
      <c r="N133" s="97">
        <f t="shared" ref="N133" si="562">N115*AD133</f>
        <v>160.94292102332597</v>
      </c>
      <c r="O133" s="97">
        <f t="shared" ref="O133" si="563">O115*AE133</f>
        <v>183.87646768494059</v>
      </c>
      <c r="P133" s="97">
        <f t="shared" ref="P133" si="564">P115*AF133</f>
        <v>210.23568324175648</v>
      </c>
      <c r="Q133" s="97">
        <f t="shared" ref="Q133" si="565">Q115*AG133</f>
        <v>240.55503837985734</v>
      </c>
      <c r="R133" s="83">
        <f>RATE(12,,-E133,Q133)</f>
        <v>0.13955959022285724</v>
      </c>
      <c r="S133" s="62" t="s">
        <v>29</v>
      </c>
      <c r="T133" s="12">
        <v>0.43099999999999999</v>
      </c>
      <c r="U133" s="12">
        <v>0.43183634674261745</v>
      </c>
      <c r="V133" s="12">
        <v>0.43267431639909548</v>
      </c>
      <c r="W133" s="12">
        <v>0.43351391211866536</v>
      </c>
      <c r="X133" s="12">
        <v>0.43435513705666956</v>
      </c>
      <c r="Y133" s="12">
        <v>0.43519799437457324</v>
      </c>
      <c r="Z133" s="12">
        <v>0.43604248723997657</v>
      </c>
      <c r="AA133" s="12">
        <v>0.43688861882662616</v>
      </c>
      <c r="AB133" s="12">
        <v>0.43773639231442729</v>
      </c>
      <c r="AC133" s="12">
        <v>0.43858581088945586</v>
      </c>
      <c r="AD133" s="12">
        <v>0.43943687774397006</v>
      </c>
      <c r="AE133" s="12">
        <v>0.44028959607642287</v>
      </c>
      <c r="AF133" s="12">
        <v>0.44114396909147369</v>
      </c>
      <c r="AG133" s="12">
        <v>0.44200000000000028</v>
      </c>
    </row>
    <row r="134" spans="1:33" ht="15.75" thickBot="1" x14ac:dyDescent="0.3">
      <c r="A134" s="115"/>
      <c r="B134" s="63" t="s">
        <v>30</v>
      </c>
      <c r="C134" s="51"/>
      <c r="D134" s="92">
        <f>D115*T134</f>
        <v>17.193496320000005</v>
      </c>
      <c r="E134" s="92">
        <f t="shared" ref="E134" si="566">E115*U134</f>
        <v>19.225702996449257</v>
      </c>
      <c r="F134" s="92">
        <f t="shared" ref="F134" si="567">F115*V134</f>
        <v>21.450593598238072</v>
      </c>
      <c r="G134" s="92">
        <f t="shared" ref="G134" si="568">G115*W134</f>
        <v>23.943211966202867</v>
      </c>
      <c r="H134" s="92">
        <f t="shared" ref="H134" si="569">H115*X134</f>
        <v>26.736762865791011</v>
      </c>
      <c r="I134" s="92">
        <f t="shared" ref="I134" si="570">I115*Y134</f>
        <v>29.868653251653214</v>
      </c>
      <c r="J134" s="92">
        <f t="shared" ref="J134" si="571">J115*Z134</f>
        <v>33.381027801657922</v>
      </c>
      <c r="K134" s="92">
        <f t="shared" ref="K134" si="572">K115*AA134</f>
        <v>37.321371784089294</v>
      </c>
      <c r="L134" s="92">
        <f t="shared" ref="L134" si="573">L115*AB134</f>
        <v>41.743189291368424</v>
      </c>
      <c r="M134" s="92">
        <f t="shared" ref="M134" si="574">M115*AC134</f>
        <v>46.706765697296973</v>
      </c>
      <c r="N134" s="92">
        <f t="shared" ref="N134" si="575">N115*AD134</f>
        <v>52.280024062867625</v>
      </c>
      <c r="O134" s="92">
        <f t="shared" ref="O134" si="576">O115*AE134</f>
        <v>58.539486117021532</v>
      </c>
      <c r="P134" s="92">
        <f t="shared" ref="P134" si="577">P115*AF134</f>
        <v>65.571349356433842</v>
      </c>
      <c r="Q134" s="92">
        <f t="shared" ref="Q134" si="578">Q115*AG134</f>
        <v>73.472692717829872</v>
      </c>
      <c r="R134" s="79">
        <f>RATE(12,,-E134,Q134)</f>
        <v>0.11820211831106116</v>
      </c>
      <c r="S134" s="63" t="s">
        <v>30</v>
      </c>
      <c r="T134" s="12">
        <f>1-SUM(T132:T133)</f>
        <v>0.16800000000000004</v>
      </c>
      <c r="U134" s="12">
        <f t="shared" ref="U134" si="579">1-SUM(U132:U133)</f>
        <v>0.16551274792618309</v>
      </c>
      <c r="V134" s="12">
        <f t="shared" ref="V134" si="580">1-SUM(V132:V133)</f>
        <v>0.16301707620929717</v>
      </c>
      <c r="W134" s="12">
        <f t="shared" ref="W134" si="581">1-SUM(W132:W133)</f>
        <v>0.16051295371817442</v>
      </c>
      <c r="X134" s="12">
        <f t="shared" ref="X134" si="582">1-SUM(X132:X133)</f>
        <v>0.15800034920033545</v>
      </c>
      <c r="Y134" s="12">
        <f t="shared" ref="Y134" si="583">1-SUM(Y132:Y133)</f>
        <v>0.15547923128150276</v>
      </c>
      <c r="Z134" s="12">
        <f t="shared" ref="Z134" si="584">1-SUM(Z132:Z133)</f>
        <v>0.15294956846511254</v>
      </c>
      <c r="AA134" s="12">
        <f t="shared" ref="AA134" si="585">1-SUM(AA132:AA133)</f>
        <v>0.15041132913182498</v>
      </c>
      <c r="AB134" s="12">
        <f t="shared" ref="AB134" si="586">1-SUM(AB132:AB133)</f>
        <v>0.14786448153903209</v>
      </c>
      <c r="AC134" s="12">
        <f t="shared" ref="AC134" si="587">1-SUM(AC132:AC133)</f>
        <v>0.14530899382036322</v>
      </c>
      <c r="AD134" s="12">
        <f t="shared" ref="AD134" si="588">1-SUM(AD132:AD133)</f>
        <v>0.14274483398518978</v>
      </c>
      <c r="AE134" s="12">
        <f t="shared" ref="AE134" si="589">1-SUM(AE132:AE133)</f>
        <v>0.14017196991812608</v>
      </c>
      <c r="AF134" s="12">
        <f t="shared" ref="AF134" si="590">1-SUM(AF132:AF133)</f>
        <v>0.13759036937852986</v>
      </c>
      <c r="AG134" s="12">
        <f t="shared" ref="AG134" si="591">1-SUM(AG132:AG133)</f>
        <v>0.13500000000000034</v>
      </c>
    </row>
    <row r="137" spans="1:33" ht="26.25" x14ac:dyDescent="0.4">
      <c r="A137" s="109" t="s">
        <v>69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70"/>
    </row>
    <row r="138" spans="1:33" ht="24" thickBot="1" x14ac:dyDescent="0.4">
      <c r="A138" s="70"/>
      <c r="B138" s="70"/>
      <c r="C138" s="70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</row>
    <row r="139" spans="1:33" ht="15.75" x14ac:dyDescent="0.25">
      <c r="A139" s="49"/>
      <c r="B139" s="50"/>
      <c r="C139" s="100"/>
      <c r="D139" s="98">
        <v>2023</v>
      </c>
      <c r="E139" s="72">
        <v>2024</v>
      </c>
      <c r="F139" s="72">
        <v>2025</v>
      </c>
      <c r="G139" s="72">
        <v>2026</v>
      </c>
      <c r="H139" s="72">
        <v>2027</v>
      </c>
      <c r="I139" s="72">
        <v>2028</v>
      </c>
      <c r="J139" s="72">
        <v>2029</v>
      </c>
      <c r="K139" s="72">
        <v>2030</v>
      </c>
      <c r="L139" s="72">
        <v>2031</v>
      </c>
      <c r="M139" s="72">
        <v>2032</v>
      </c>
      <c r="N139" s="72">
        <v>2033</v>
      </c>
      <c r="O139" s="72">
        <v>2034</v>
      </c>
      <c r="P139" s="72">
        <v>2035</v>
      </c>
      <c r="Q139" s="72">
        <v>2036</v>
      </c>
      <c r="R139" s="73" t="s">
        <v>13</v>
      </c>
    </row>
    <row r="140" spans="1:33" ht="16.5" thickBot="1" x14ac:dyDescent="0.3">
      <c r="A140" s="26"/>
      <c r="B140" s="101"/>
      <c r="C140" s="102"/>
      <c r="D140" s="99">
        <f>'Market Analysis'!C54</f>
        <v>447.7473</v>
      </c>
      <c r="E140" s="99">
        <f>'Market Analysis'!D54</f>
        <v>487.59680969999999</v>
      </c>
      <c r="F140" s="99">
        <f>'Market Analysis'!E54</f>
        <v>541.78367865378698</v>
      </c>
      <c r="G140" s="99">
        <f>'Market Analysis'!F54</f>
        <v>601.52492771591619</v>
      </c>
      <c r="H140" s="99">
        <f>'Market Analysis'!G54</f>
        <v>667.33876142361203</v>
      </c>
      <c r="I140" s="99">
        <f>'Market Analysis'!H54</f>
        <v>739.7865427525071</v>
      </c>
      <c r="J140" s="99">
        <f>'Market Analysis'!I54</f>
        <v>819.47590387336197</v>
      </c>
      <c r="K140" s="99">
        <f>'Market Analysis'!J54</f>
        <v>907.06404010367589</v>
      </c>
      <c r="L140" s="99">
        <f>'Market Analysis'!K54</f>
        <v>1003.261194703672</v>
      </c>
      <c r="M140" s="99">
        <f>'Market Analysis'!L54</f>
        <v>1108.8343422667588</v>
      </c>
      <c r="N140" s="99">
        <f>'Market Analysis'!M54</f>
        <v>1224.6110785408778</v>
      </c>
      <c r="O140" s="99">
        <f>'Market Analysis'!N54</f>
        <v>1351.4837245880371</v>
      </c>
      <c r="P140" s="99">
        <f>'Market Analysis'!O54</f>
        <v>1490.4136532437137</v>
      </c>
      <c r="Q140" s="99">
        <f>'Market Analysis'!P54</f>
        <v>1642.4358458745724</v>
      </c>
      <c r="R140" s="75">
        <f>RATE(12,,-E140,Q140)</f>
        <v>0.10650223789328485</v>
      </c>
      <c r="T140" s="72">
        <v>2023</v>
      </c>
      <c r="U140" s="72">
        <v>2024</v>
      </c>
      <c r="V140" s="72">
        <v>2025</v>
      </c>
      <c r="W140" s="72">
        <v>2026</v>
      </c>
      <c r="X140" s="72">
        <v>2027</v>
      </c>
      <c r="Y140" s="72">
        <v>2028</v>
      </c>
      <c r="Z140" s="72">
        <v>2029</v>
      </c>
      <c r="AA140" s="72">
        <v>2030</v>
      </c>
      <c r="AB140" s="72">
        <v>2031</v>
      </c>
      <c r="AC140" s="72">
        <v>2032</v>
      </c>
      <c r="AD140" s="72">
        <v>2033</v>
      </c>
      <c r="AE140" s="72">
        <v>2034</v>
      </c>
      <c r="AF140" s="72">
        <v>2035</v>
      </c>
      <c r="AG140" s="72">
        <v>2036</v>
      </c>
    </row>
    <row r="141" spans="1:33" x14ac:dyDescent="0.25">
      <c r="A141" s="110" t="s">
        <v>51</v>
      </c>
      <c r="B141" s="59" t="s">
        <v>34</v>
      </c>
      <c r="C141" s="52"/>
      <c r="D141" s="86">
        <f>D140*T141</f>
        <v>250.73848800000002</v>
      </c>
      <c r="E141" s="86">
        <f t="shared" ref="E141" si="592">E140*U141</f>
        <v>273.50358932070037</v>
      </c>
      <c r="F141" s="86">
        <f t="shared" ref="F141" si="593">F140*V141</f>
        <v>304.39831228504102</v>
      </c>
      <c r="G141" s="86">
        <f t="shared" ref="G141" si="594">G140*W141</f>
        <v>338.51981888607969</v>
      </c>
      <c r="H141" s="86">
        <f t="shared" ref="H141" si="595">H140*X141</f>
        <v>376.17590023961253</v>
      </c>
      <c r="I141" s="86">
        <f t="shared" ref="I141" si="596">I140*Y141</f>
        <v>417.70069000589962</v>
      </c>
      <c r="J141" s="86">
        <f t="shared" ref="J141" si="597">J140*Z141</f>
        <v>463.45663225689293</v>
      </c>
      <c r="K141" s="86">
        <f t="shared" ref="K141" si="598">K140*AA141</f>
        <v>513.83657150874058</v>
      </c>
      <c r="L141" s="86">
        <f t="shared" ref="L141" si="599">L140*AB141</f>
        <v>569.26597055947559</v>
      </c>
      <c r="M141" s="86">
        <f t="shared" ref="M141" si="600">M140*AC141</f>
        <v>630.2052618944432</v>
      </c>
      <c r="N141" s="86">
        <f t="shared" ref="N141" si="601">N140*AD141</f>
        <v>697.15233853784775</v>
      </c>
      <c r="O141" s="86">
        <f t="shared" ref="O141" si="602">O140*AE141</f>
        <v>770.64519033702015</v>
      </c>
      <c r="P141" s="86">
        <f t="shared" ref="P141" si="603">P140*AF141</f>
        <v>851.26469176588387</v>
      </c>
      <c r="Q141" s="86">
        <f t="shared" ref="Q141" si="604">Q140*AG141</f>
        <v>939.63754742484127</v>
      </c>
      <c r="R141" s="84">
        <f>RATE(12,,-E141,Q141)</f>
        <v>0.10832325146068951</v>
      </c>
      <c r="S141" s="59" t="s">
        <v>34</v>
      </c>
      <c r="T141" s="12">
        <v>0.56000000000000005</v>
      </c>
      <c r="U141" s="12">
        <v>0.56092161367703952</v>
      </c>
      <c r="V141" s="12">
        <v>0.56184474408938223</v>
      </c>
      <c r="W141" s="12">
        <v>0.56276939373317769</v>
      </c>
      <c r="X141" s="12">
        <v>0.56369556510868446</v>
      </c>
      <c r="Y141" s="12">
        <v>0.56462326072027491</v>
      </c>
      <c r="Z141" s="12">
        <v>0.56555248307644368</v>
      </c>
      <c r="AA141" s="12">
        <v>0.56648323468981299</v>
      </c>
      <c r="AB141" s="12">
        <v>0.56741551807714108</v>
      </c>
      <c r="AC141" s="12">
        <v>0.56834933575932756</v>
      </c>
      <c r="AD141" s="12">
        <v>0.56928469026142059</v>
      </c>
      <c r="AE141" s="12">
        <v>0.57022158411262425</v>
      </c>
      <c r="AF141" s="12">
        <v>0.57116001984630527</v>
      </c>
      <c r="AG141" s="12">
        <v>0.57209999999999905</v>
      </c>
    </row>
    <row r="142" spans="1:33" ht="15.75" thickBot="1" x14ac:dyDescent="0.3">
      <c r="A142" s="111"/>
      <c r="B142" s="60" t="s">
        <v>35</v>
      </c>
      <c r="C142" s="53"/>
      <c r="D142" s="87">
        <f>D140*T142</f>
        <v>197.00881199999998</v>
      </c>
      <c r="E142" s="87">
        <f t="shared" ref="E142" si="605">E140*U142</f>
        <v>214.09322037929965</v>
      </c>
      <c r="F142" s="87">
        <f t="shared" ref="F142" si="606">F140*V142</f>
        <v>237.38536636874593</v>
      </c>
      <c r="G142" s="87">
        <f t="shared" ref="G142" si="607">G140*W142</f>
        <v>263.0051088298365</v>
      </c>
      <c r="H142" s="87">
        <f t="shared" ref="H142" si="608">H140*X142</f>
        <v>291.1628611839995</v>
      </c>
      <c r="I142" s="87">
        <f t="shared" ref="I142" si="609">I140*Y142</f>
        <v>322.08585274660749</v>
      </c>
      <c r="J142" s="87">
        <f t="shared" ref="J142" si="610">J140*Z142</f>
        <v>356.01927161646904</v>
      </c>
      <c r="K142" s="87">
        <f t="shared" ref="K142" si="611">K140*AA142</f>
        <v>393.22746859493532</v>
      </c>
      <c r="L142" s="87">
        <f t="shared" ref="L142" si="612">L140*AB142</f>
        <v>433.99522414419647</v>
      </c>
      <c r="M142" s="87">
        <f t="shared" ref="M142" si="613">M140*AC142</f>
        <v>478.62908037231557</v>
      </c>
      <c r="N142" s="87">
        <f t="shared" ref="N142" si="614">N140*AD142</f>
        <v>527.45874000303002</v>
      </c>
      <c r="O142" s="87">
        <f t="shared" ref="O142" si="615">O140*AE142</f>
        <v>580.83853425101699</v>
      </c>
      <c r="P142" s="87">
        <f t="shared" ref="P142" si="616">P140*AF142</f>
        <v>639.14896147782986</v>
      </c>
      <c r="Q142" s="87">
        <f t="shared" ref="Q142" si="617">Q140*AG142</f>
        <v>702.79829844973108</v>
      </c>
      <c r="R142" s="85">
        <f>RATE(12,,-E142,Q142)</f>
        <v>0.10412687819089961</v>
      </c>
      <c r="S142" s="60" t="s">
        <v>35</v>
      </c>
      <c r="T142" s="12">
        <f>1-T141</f>
        <v>0.43999999999999995</v>
      </c>
      <c r="U142" s="12">
        <f t="shared" ref="U142" si="618">1-U141</f>
        <v>0.43907838632296048</v>
      </c>
      <c r="V142" s="12">
        <f t="shared" ref="V142" si="619">1-V141</f>
        <v>0.43815525591061777</v>
      </c>
      <c r="W142" s="12">
        <f t="shared" ref="W142" si="620">1-W141</f>
        <v>0.43723060626682231</v>
      </c>
      <c r="X142" s="12">
        <f t="shared" ref="X142" si="621">1-X141</f>
        <v>0.43630443489131554</v>
      </c>
      <c r="Y142" s="12">
        <f t="shared" ref="Y142" si="622">1-Y141</f>
        <v>0.43537673927972509</v>
      </c>
      <c r="Z142" s="12">
        <f t="shared" ref="Z142" si="623">1-Z141</f>
        <v>0.43444751692355632</v>
      </c>
      <c r="AA142" s="12">
        <f t="shared" ref="AA142" si="624">1-AA141</f>
        <v>0.43351676531018701</v>
      </c>
      <c r="AB142" s="12">
        <f t="shared" ref="AB142" si="625">1-AB141</f>
        <v>0.43258448192285892</v>
      </c>
      <c r="AC142" s="12">
        <f t="shared" ref="AC142" si="626">1-AC141</f>
        <v>0.43165066424067244</v>
      </c>
      <c r="AD142" s="12">
        <f t="shared" ref="AD142" si="627">1-AD141</f>
        <v>0.43071530973857941</v>
      </c>
      <c r="AE142" s="12">
        <f t="shared" ref="AE142" si="628">1-AE141</f>
        <v>0.42977841588737575</v>
      </c>
      <c r="AF142" s="12">
        <f t="shared" ref="AF142" si="629">1-AF141</f>
        <v>0.42883998015369473</v>
      </c>
      <c r="AG142" s="12">
        <f t="shared" ref="AG142" si="630">1-AG141</f>
        <v>0.42790000000000095</v>
      </c>
    </row>
    <row r="143" spans="1:33" ht="15.75" thickBot="1" x14ac:dyDescent="0.3">
      <c r="A143" s="1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21"/>
    </row>
    <row r="144" spans="1:33" x14ac:dyDescent="0.25">
      <c r="A144" s="110" t="s">
        <v>15</v>
      </c>
      <c r="B144" s="64" t="s">
        <v>16</v>
      </c>
      <c r="C144" s="54"/>
      <c r="D144" s="89">
        <f>D140*T144</f>
        <v>210.88897829999996</v>
      </c>
      <c r="E144" s="89">
        <f t="shared" ref="E144" si="631">E140*U144</f>
        <v>229.35803779349999</v>
      </c>
      <c r="F144" s="89">
        <f t="shared" ref="F144" si="632">F140*V144</f>
        <v>254.5133019645136</v>
      </c>
      <c r="G144" s="89">
        <f t="shared" ref="G144" si="633">G140*W144</f>
        <v>282.20773339533633</v>
      </c>
      <c r="H144" s="89">
        <f t="shared" ref="H144" si="634">H140*X144</f>
        <v>312.67387660240161</v>
      </c>
      <c r="I144" s="89">
        <f t="shared" ref="I144" si="635">I140*Y144</f>
        <v>346.1631953510385</v>
      </c>
      <c r="J144" s="89">
        <f t="shared" ref="J144" si="636">J140*Z144</f>
        <v>382.94739354082105</v>
      </c>
      <c r="K144" s="89">
        <f t="shared" ref="K144" si="637">K140*AA144</f>
        <v>423.31981010069239</v>
      </c>
      <c r="L144" s="89">
        <f t="shared" ref="L144" si="638">L140*AB144</f>
        <v>467.59689066996526</v>
      </c>
      <c r="M144" s="89">
        <f t="shared" ref="M144" si="639">M140*AC144</f>
        <v>516.1197388504736</v>
      </c>
      <c r="N144" s="89">
        <f t="shared" ref="N144" si="640">N140*AD144</f>
        <v>569.25574981711725</v>
      </c>
      <c r="O144" s="89">
        <f t="shared" ref="O144" si="641">O140*AE144</f>
        <v>627.4003290683695</v>
      </c>
      <c r="P144" s="89">
        <f t="shared" ref="P144" si="642">P140*AF144</f>
        <v>690.97869908460484</v>
      </c>
      <c r="Q144" s="89">
        <f t="shared" ref="Q144" si="643">Q140*AG144</f>
        <v>760.44779663992699</v>
      </c>
      <c r="R144" s="76">
        <f>RATE(12,,-E144,Q144)</f>
        <v>0.10504412535754058</v>
      </c>
      <c r="S144" s="64" t="s">
        <v>16</v>
      </c>
      <c r="T144" s="12">
        <v>0.47099999999999992</v>
      </c>
      <c r="U144" s="12">
        <v>0.47038461538461535</v>
      </c>
      <c r="V144" s="12">
        <v>0.46976923076923072</v>
      </c>
      <c r="W144" s="12">
        <v>0.46915384615384609</v>
      </c>
      <c r="X144" s="12">
        <v>0.46853846153846151</v>
      </c>
      <c r="Y144" s="12">
        <v>0.46792307692307689</v>
      </c>
      <c r="Z144" s="12">
        <v>0.46730769230769226</v>
      </c>
      <c r="AA144" s="12">
        <v>0.46669230769230763</v>
      </c>
      <c r="AB144" s="12">
        <v>0.46607692307692306</v>
      </c>
      <c r="AC144" s="12">
        <v>0.46546153846153843</v>
      </c>
      <c r="AD144" s="12">
        <v>0.4648461538461538</v>
      </c>
      <c r="AE144" s="12">
        <v>0.46423076923076922</v>
      </c>
      <c r="AF144" s="12">
        <v>0.4636153846153846</v>
      </c>
      <c r="AG144" s="12">
        <v>0.46299999999999997</v>
      </c>
    </row>
    <row r="145" spans="1:33" ht="15.75" thickBot="1" x14ac:dyDescent="0.3">
      <c r="A145" s="111"/>
      <c r="B145" s="65" t="s">
        <v>17</v>
      </c>
      <c r="C145" s="55"/>
      <c r="D145" s="90">
        <f>D140*T145</f>
        <v>236.85832170000006</v>
      </c>
      <c r="E145" s="90">
        <f t="shared" ref="E145" si="644">E140*U145</f>
        <v>258.23877190650001</v>
      </c>
      <c r="F145" s="90">
        <f t="shared" ref="F145" si="645">F140*V145</f>
        <v>287.27037668927341</v>
      </c>
      <c r="G145" s="90">
        <f t="shared" ref="G145" si="646">G140*W145</f>
        <v>319.31719432057992</v>
      </c>
      <c r="H145" s="90">
        <f t="shared" ref="H145" si="647">H140*X145</f>
        <v>354.66488482121042</v>
      </c>
      <c r="I145" s="90">
        <f t="shared" ref="I145" si="648">I140*Y145</f>
        <v>393.62334740146861</v>
      </c>
      <c r="J145" s="90">
        <f t="shared" ref="J145" si="649">J140*Z145</f>
        <v>436.52851033254098</v>
      </c>
      <c r="K145" s="90">
        <f t="shared" ref="K145" si="650">K140*AA145</f>
        <v>483.7442300029835</v>
      </c>
      <c r="L145" s="90">
        <f t="shared" ref="L145" si="651">L140*AB145</f>
        <v>535.6643040337068</v>
      </c>
      <c r="M145" s="90">
        <f t="shared" ref="M145" si="652">M140*AC145</f>
        <v>592.71460341628529</v>
      </c>
      <c r="N145" s="90">
        <f t="shared" ref="N145" si="653">N140*AD145</f>
        <v>655.35532872376052</v>
      </c>
      <c r="O145" s="90">
        <f t="shared" ref="O145" si="654">O140*AE145</f>
        <v>724.08339551966765</v>
      </c>
      <c r="P145" s="90">
        <f t="shared" ref="P145" si="655">P140*AF145</f>
        <v>799.434954159109</v>
      </c>
      <c r="Q145" s="90">
        <f t="shared" ref="Q145" si="656">Q140*AG145</f>
        <v>881.98804923464536</v>
      </c>
      <c r="R145" s="77">
        <f>RATE(12,,-E145,Q145)</f>
        <v>0.10777978998637916</v>
      </c>
      <c r="S145" s="65" t="s">
        <v>17</v>
      </c>
      <c r="T145" s="12">
        <f>1-T144</f>
        <v>0.52900000000000014</v>
      </c>
      <c r="U145" s="12">
        <f t="shared" ref="U145" si="657">1-U144</f>
        <v>0.5296153846153846</v>
      </c>
      <c r="V145" s="12">
        <f t="shared" ref="V145" si="658">1-V144</f>
        <v>0.53023076923076928</v>
      </c>
      <c r="W145" s="12">
        <f t="shared" ref="W145" si="659">1-W144</f>
        <v>0.53084615384615397</v>
      </c>
      <c r="X145" s="12">
        <f t="shared" ref="X145" si="660">1-X144</f>
        <v>0.53146153846153843</v>
      </c>
      <c r="Y145" s="12">
        <f t="shared" ref="Y145" si="661">1-Y144</f>
        <v>0.53207692307692311</v>
      </c>
      <c r="Z145" s="12">
        <f t="shared" ref="Z145" si="662">1-Z144</f>
        <v>0.5326923076923078</v>
      </c>
      <c r="AA145" s="12">
        <f t="shared" ref="AA145" si="663">1-AA144</f>
        <v>0.53330769230769237</v>
      </c>
      <c r="AB145" s="12">
        <f t="shared" ref="AB145" si="664">1-AB144</f>
        <v>0.53392307692307694</v>
      </c>
      <c r="AC145" s="12">
        <f t="shared" ref="AC145" si="665">1-AC144</f>
        <v>0.53453846153846163</v>
      </c>
      <c r="AD145" s="12">
        <f t="shared" ref="AD145" si="666">1-AD144</f>
        <v>0.5351538461538462</v>
      </c>
      <c r="AE145" s="12">
        <f t="shared" ref="AE145" si="667">1-AE144</f>
        <v>0.53576923076923078</v>
      </c>
      <c r="AF145" s="12">
        <f t="shared" ref="AF145" si="668">1-AF144</f>
        <v>0.53638461538461546</v>
      </c>
      <c r="AG145" s="12">
        <f t="shared" ref="AG145" si="669">1-AG144</f>
        <v>0.53700000000000003</v>
      </c>
    </row>
    <row r="146" spans="1:33" ht="15.75" thickBot="1" x14ac:dyDescent="0.3">
      <c r="A146" s="1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21"/>
    </row>
    <row r="147" spans="1:33" x14ac:dyDescent="0.25">
      <c r="A147" s="110" t="s">
        <v>18</v>
      </c>
      <c r="B147" s="61" t="s">
        <v>19</v>
      </c>
      <c r="C147" s="56"/>
      <c r="D147" s="91">
        <f>D140*T147</f>
        <v>179.5466673</v>
      </c>
      <c r="E147" s="91">
        <f t="shared" ref="E147" si="670">E140*U147</f>
        <v>196.33129686230959</v>
      </c>
      <c r="F147" s="91">
        <f t="shared" ref="F147" si="671">F140*V147</f>
        <v>219.0478046240147</v>
      </c>
      <c r="G147" s="91">
        <f t="shared" ref="G147" si="672">G140*W147</f>
        <v>244.20296018209888</v>
      </c>
      <c r="H147" s="91">
        <f t="shared" ref="H147" si="673">H140*X147</f>
        <v>272.03698490238082</v>
      </c>
      <c r="I147" s="91">
        <f t="shared" ref="I147" si="674">I140*Y147</f>
        <v>302.8114801017561</v>
      </c>
      <c r="J147" s="91">
        <f t="shared" ref="J147" si="675">J140*Z147</f>
        <v>336.81110665020447</v>
      </c>
      <c r="K147" s="91">
        <f t="shared" ref="K147" si="676">K140*AA147</f>
        <v>374.34537655580453</v>
      </c>
      <c r="L147" s="91">
        <f t="shared" ref="L147" si="677">L140*AB147</f>
        <v>415.75056238193605</v>
      </c>
      <c r="M147" s="91">
        <f t="shared" ref="M147" si="678">M140*AC147</f>
        <v>461.39173053336896</v>
      </c>
      <c r="N147" s="91">
        <f t="shared" ref="N147" si="679">N140*AD147</f>
        <v>511.66490463345696</v>
      </c>
      <c r="O147" s="91">
        <f t="shared" ref="O147" si="680">O140*AE147</f>
        <v>566.99936539751945</v>
      </c>
      <c r="P147" s="91">
        <f t="shared" ref="P147" si="681">P140*AF147</f>
        <v>627.86009358705189</v>
      </c>
      <c r="Q147" s="91">
        <f t="shared" ref="Q147" si="682">Q140*AG147</f>
        <v>694.75036280494305</v>
      </c>
      <c r="R147" s="78">
        <f>RATE(12,,-E147,Q147)</f>
        <v>0.11105767540775335</v>
      </c>
      <c r="S147" s="61" t="s">
        <v>19</v>
      </c>
      <c r="T147" s="12">
        <v>0.40099999999999997</v>
      </c>
      <c r="U147" s="12">
        <v>0.40265090533119946</v>
      </c>
      <c r="V147" s="12">
        <v>0.40430860739160734</v>
      </c>
      <c r="W147" s="12">
        <v>0.40597313416316017</v>
      </c>
      <c r="X147" s="12">
        <v>0.40764451374299493</v>
      </c>
      <c r="Y147" s="12">
        <v>0.40932277434392395</v>
      </c>
      <c r="Z147" s="12">
        <v>0.41100794429491083</v>
      </c>
      <c r="AA147" s="12">
        <v>0.4127000520415488</v>
      </c>
      <c r="AB147" s="12">
        <v>0.41439912614654062</v>
      </c>
      <c r="AC147" s="12">
        <v>0.41610519529018092</v>
      </c>
      <c r="AD147" s="12">
        <v>0.41781828827084017</v>
      </c>
      <c r="AE147" s="12">
        <v>0.4195384340054511</v>
      </c>
      <c r="AF147" s="12">
        <v>0.4212656615299965</v>
      </c>
      <c r="AG147" s="12">
        <v>0.42299999999999938</v>
      </c>
    </row>
    <row r="148" spans="1:33" ht="15.75" thickBot="1" x14ac:dyDescent="0.3">
      <c r="A148" s="111"/>
      <c r="B148" s="63" t="s">
        <v>20</v>
      </c>
      <c r="C148" s="51"/>
      <c r="D148" s="92">
        <f>D140*T148</f>
        <v>268.20063269999997</v>
      </c>
      <c r="E148" s="92">
        <f t="shared" ref="E148" si="683">E140*U148</f>
        <v>291.26551283769038</v>
      </c>
      <c r="F148" s="92">
        <f t="shared" ref="F148" si="684">F140*V148</f>
        <v>322.73587402977228</v>
      </c>
      <c r="G148" s="92">
        <f t="shared" ref="G148" si="685">G140*W148</f>
        <v>357.32196753381731</v>
      </c>
      <c r="H148" s="92">
        <f t="shared" ref="H148" si="686">H140*X148</f>
        <v>395.3017765212312</v>
      </c>
      <c r="I148" s="92">
        <f t="shared" ref="I148" si="687">I140*Y148</f>
        <v>436.975062650751</v>
      </c>
      <c r="J148" s="92">
        <f t="shared" ref="J148" si="688">J140*Z148</f>
        <v>482.66479722315751</v>
      </c>
      <c r="K148" s="92">
        <f t="shared" ref="K148" si="689">K140*AA148</f>
        <v>532.7186635478713</v>
      </c>
      <c r="L148" s="92">
        <f t="shared" ref="L148" si="690">L140*AB148</f>
        <v>587.51063232173601</v>
      </c>
      <c r="M148" s="92">
        <f t="shared" ref="M148" si="691">M140*AC148</f>
        <v>647.44261173338987</v>
      </c>
      <c r="N148" s="92">
        <f t="shared" ref="N148" si="692">N140*AD148</f>
        <v>712.94617390742087</v>
      </c>
      <c r="O148" s="92">
        <f t="shared" ref="O148" si="693">O140*AE148</f>
        <v>784.48435919051769</v>
      </c>
      <c r="P148" s="92">
        <f t="shared" ref="P148" si="694">P140*AF148</f>
        <v>862.55355965666172</v>
      </c>
      <c r="Q148" s="92">
        <f t="shared" ref="Q148" si="695">Q140*AG148</f>
        <v>947.6854830696293</v>
      </c>
      <c r="R148" s="79">
        <f>RATE(12,,-E148,Q148)</f>
        <v>0.10331095457855716</v>
      </c>
      <c r="S148" s="63" t="s">
        <v>20</v>
      </c>
      <c r="T148" s="12">
        <f>1-T147</f>
        <v>0.59899999999999998</v>
      </c>
      <c r="U148" s="12">
        <f t="shared" ref="U148" si="696">1-U147</f>
        <v>0.59734909466880048</v>
      </c>
      <c r="V148" s="12">
        <f t="shared" ref="V148" si="697">1-V147</f>
        <v>0.59569139260839266</v>
      </c>
      <c r="W148" s="12">
        <f t="shared" ref="W148" si="698">1-W147</f>
        <v>0.59402686583683983</v>
      </c>
      <c r="X148" s="12">
        <f t="shared" ref="X148" si="699">1-X147</f>
        <v>0.59235548625700507</v>
      </c>
      <c r="Y148" s="12">
        <f t="shared" ref="Y148" si="700">1-Y147</f>
        <v>0.59067722565607605</v>
      </c>
      <c r="Z148" s="12">
        <f t="shared" ref="Z148" si="701">1-Z147</f>
        <v>0.58899205570508917</v>
      </c>
      <c r="AA148" s="12">
        <f t="shared" ref="AA148" si="702">1-AA147</f>
        <v>0.5872999479584512</v>
      </c>
      <c r="AB148" s="12">
        <f t="shared" ref="AB148" si="703">1-AB147</f>
        <v>0.58560087385345938</v>
      </c>
      <c r="AC148" s="12">
        <f t="shared" ref="AC148" si="704">1-AC147</f>
        <v>0.58389480470981914</v>
      </c>
      <c r="AD148" s="12">
        <f t="shared" ref="AD148" si="705">1-AD147</f>
        <v>0.58218171172915989</v>
      </c>
      <c r="AE148" s="12">
        <f t="shared" ref="AE148" si="706">1-AE147</f>
        <v>0.5804615659945489</v>
      </c>
      <c r="AF148" s="12">
        <f t="shared" ref="AF148" si="707">1-AF147</f>
        <v>0.57873433847000344</v>
      </c>
      <c r="AG148" s="12">
        <f t="shared" ref="AG148" si="708">1-AG147</f>
        <v>0.57700000000000062</v>
      </c>
    </row>
    <row r="149" spans="1:33" ht="15.75" thickBot="1" x14ac:dyDescent="0.3">
      <c r="A149" s="2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21"/>
    </row>
    <row r="150" spans="1:33" x14ac:dyDescent="0.25">
      <c r="A150" s="110" t="s">
        <v>14</v>
      </c>
      <c r="B150" s="66" t="s">
        <v>21</v>
      </c>
      <c r="C150" s="57"/>
      <c r="D150" s="93">
        <f>D140*T150</f>
        <v>111.936825</v>
      </c>
      <c r="E150" s="93">
        <f t="shared" ref="E150" si="709">E140*U150</f>
        <v>122.65787155876203</v>
      </c>
      <c r="F150" s="93">
        <f t="shared" ref="F150" si="710">F140*V150</f>
        <v>137.13712695762723</v>
      </c>
      <c r="G150" s="93">
        <f t="shared" ref="G150" si="711">G140*W150</f>
        <v>153.20654498952015</v>
      </c>
      <c r="H150" s="93">
        <f t="shared" ref="H150" si="712">H140*X150</f>
        <v>171.02696948761002</v>
      </c>
      <c r="I150" s="93">
        <f t="shared" ref="I150" si="713">I140*Y150</f>
        <v>190.77402226970713</v>
      </c>
      <c r="J150" s="93">
        <f t="shared" ref="J150" si="714">J140*Z150</f>
        <v>212.63931161890781</v>
      </c>
      <c r="K150" s="93">
        <f t="shared" ref="K150" si="715">K140*AA150</f>
        <v>236.83172587766771</v>
      </c>
      <c r="L150" s="93">
        <f t="shared" ref="L150" si="716">L140*AB150</f>
        <v>263.57881700659146</v>
      </c>
      <c r="M150" s="93">
        <f t="shared" ref="M150" si="717">M140*AC150</f>
        <v>293.12827914990203</v>
      </c>
      <c r="N150" s="93">
        <f t="shared" ref="N150" si="718">N140*AD150</f>
        <v>325.74952744185282</v>
      </c>
      <c r="O150" s="93">
        <f t="shared" ref="O150" si="719">O140*AE150</f>
        <v>361.7353824818473</v>
      </c>
      <c r="P150" s="93">
        <f t="shared" ref="P150" si="720">P140*AF150</f>
        <v>401.40386610031834</v>
      </c>
      <c r="Q150" s="93">
        <f t="shared" ref="Q150" si="721">Q140*AG150</f>
        <v>445.10011423200933</v>
      </c>
      <c r="R150" s="80">
        <f t="shared" ref="R150:R155" si="722">RATE(12,,-E150,Q150)</f>
        <v>0.11338882187054734</v>
      </c>
      <c r="S150" s="66" t="s">
        <v>21</v>
      </c>
      <c r="T150" s="12">
        <v>0.25</v>
      </c>
      <c r="U150" s="12">
        <v>0.25155593539307364</v>
      </c>
      <c r="V150" s="12">
        <v>0.25312155452593693</v>
      </c>
      <c r="W150" s="12">
        <v>0.25469691766768382</v>
      </c>
      <c r="X150" s="12">
        <v>0.25628208546250747</v>
      </c>
      <c r="Y150" s="12">
        <v>0.2578771189320348</v>
      </c>
      <c r="Z150" s="12">
        <v>0.25948207947767565</v>
      </c>
      <c r="AA150" s="12">
        <v>0.2610970288829863</v>
      </c>
      <c r="AB150" s="12">
        <v>0.26272202931604799</v>
      </c>
      <c r="AC150" s="12">
        <v>0.26435714333185978</v>
      </c>
      <c r="AD150" s="12">
        <v>0.26600243387474731</v>
      </c>
      <c r="AE150" s="12">
        <v>0.26765796428078514</v>
      </c>
      <c r="AF150" s="12">
        <v>0.26932379828023517</v>
      </c>
      <c r="AG150" s="12">
        <v>0.27100000000000013</v>
      </c>
    </row>
    <row r="151" spans="1:33" x14ac:dyDescent="0.25">
      <c r="A151" s="112"/>
      <c r="B151" s="67" t="s">
        <v>22</v>
      </c>
      <c r="C151" s="48"/>
      <c r="D151" s="94">
        <f>D140*T151</f>
        <v>170.14397400000001</v>
      </c>
      <c r="E151" s="94">
        <f t="shared" ref="E151" si="723">E140*U151</f>
        <v>185.7304468450989</v>
      </c>
      <c r="F151" s="94">
        <f t="shared" ref="F151" si="724">F140*V151</f>
        <v>206.86490469355209</v>
      </c>
      <c r="G151" s="94">
        <f t="shared" ref="G151" si="725">G140*W151</f>
        <v>230.22537069384032</v>
      </c>
      <c r="H151" s="94">
        <f t="shared" ref="H151" si="726">H140*X151</f>
        <v>256.02628459208813</v>
      </c>
      <c r="I151" s="94">
        <f t="shared" ref="I151" si="727">I140*Y151</f>
        <v>284.50066206719782</v>
      </c>
      <c r="J151" s="94">
        <f t="shared" ref="J151" si="728">J140*Z151</f>
        <v>315.90150430587909</v>
      </c>
      <c r="K151" s="94">
        <f t="shared" ref="K151" si="729">K140*AA151</f>
        <v>350.50329707811557</v>
      </c>
      <c r="L151" s="94">
        <f t="shared" ref="L151" si="730">L140*AB151</f>
        <v>388.60360361512164</v>
      </c>
      <c r="M151" s="94">
        <f t="shared" ref="M151" si="731">M140*AC151</f>
        <v>430.52475569998552</v>
      </c>
      <c r="N151" s="94">
        <f t="shared" ref="N151" si="732">N140*AD151</f>
        <v>476.61564748531936</v>
      </c>
      <c r="O151" s="94">
        <f t="shared" ref="O151" si="733">O140*AE151</f>
        <v>527.25363665177565</v>
      </c>
      <c r="P151" s="94">
        <f t="shared" ref="P151" si="734">P140*AF151</f>
        <v>582.84655761569331</v>
      </c>
      <c r="Q151" s="94">
        <f t="shared" ref="Q151" si="735">Q140*AG151</f>
        <v>643.83485158283236</v>
      </c>
      <c r="R151" s="81">
        <f t="shared" si="722"/>
        <v>0.10915169746753209</v>
      </c>
      <c r="S151" s="67" t="s">
        <v>22</v>
      </c>
      <c r="T151" s="12">
        <v>0.38</v>
      </c>
      <c r="U151" s="12">
        <v>0.38090988938047371</v>
      </c>
      <c r="V151" s="12">
        <v>0.38182195744169661</v>
      </c>
      <c r="W151" s="12">
        <v>0.38273620940040159</v>
      </c>
      <c r="X151" s="12">
        <v>0.38365265048581265</v>
      </c>
      <c r="Y151" s="12">
        <v>0.38457128593967477</v>
      </c>
      <c r="Z151" s="12">
        <v>0.38549212101628438</v>
      </c>
      <c r="AA151" s="12">
        <v>0.38641516098251855</v>
      </c>
      <c r="AB151" s="12">
        <v>0.38734041111786593</v>
      </c>
      <c r="AC151" s="12">
        <v>0.38826787671445667</v>
      </c>
      <c r="AD151" s="12">
        <v>0.38919756307709236</v>
      </c>
      <c r="AE151" s="12">
        <v>0.39012947552327681</v>
      </c>
      <c r="AF151" s="12">
        <v>0.3910636193832463</v>
      </c>
      <c r="AG151" s="12">
        <v>0.39200000000000002</v>
      </c>
    </row>
    <row r="152" spans="1:33" x14ac:dyDescent="0.25">
      <c r="A152" s="112"/>
      <c r="B152" s="68" t="s">
        <v>23</v>
      </c>
      <c r="C152" s="48"/>
      <c r="D152" s="95">
        <f>D151*T152</f>
        <v>59.550390899999982</v>
      </c>
      <c r="E152" s="95">
        <f t="shared" ref="E152" si="736">E151*U152</f>
        <v>64.891596332854292</v>
      </c>
      <c r="F152" s="95">
        <f t="shared" ref="F152" si="737">F151*V152</f>
        <v>72.148861399010201</v>
      </c>
      <c r="G152" s="95">
        <f t="shared" ref="G152" si="738">G151*W152</f>
        <v>80.155468198065861</v>
      </c>
      <c r="H152" s="95">
        <f t="shared" ref="H152" si="739">H151*X152</f>
        <v>88.98193345895902</v>
      </c>
      <c r="I152" s="95">
        <f t="shared" ref="I152" si="740">I151*Y152</f>
        <v>98.704709729123252</v>
      </c>
      <c r="J152" s="95">
        <f t="shared" ref="J152" si="741">J151*Z152</f>
        <v>109.40661926735618</v>
      </c>
      <c r="K152" s="95">
        <f t="shared" ref="K152" si="742">K151*AA152</f>
        <v>121.17731402937501</v>
      </c>
      <c r="L152" s="95">
        <f t="shared" ref="L152" si="743">L151*AB152</f>
        <v>134.11376288109457</v>
      </c>
      <c r="M152" s="95">
        <f t="shared" ref="M152" si="744">M151*AC152</f>
        <v>148.32076719360299</v>
      </c>
      <c r="N152" s="95">
        <f t="shared" ref="N152" si="745">N151*AD152</f>
        <v>163.9115059909299</v>
      </c>
      <c r="O152" s="95">
        <f t="shared" ref="O152" si="746">O151*AE152</f>
        <v>181.0081118368376</v>
      </c>
      <c r="P152" s="95">
        <f t="shared" ref="P152" si="747">P151*AF152</f>
        <v>199.74227865985787</v>
      </c>
      <c r="Q152" s="95">
        <f t="shared" ref="Q152" si="748">Q151*AG152</f>
        <v>220.25590272648682</v>
      </c>
      <c r="R152" s="81">
        <f t="shared" si="722"/>
        <v>0.10720556047253331</v>
      </c>
      <c r="S152" s="68" t="s">
        <v>23</v>
      </c>
      <c r="T152" s="74">
        <v>0.34999999999999987</v>
      </c>
      <c r="U152" s="74">
        <v>0.34938588387166564</v>
      </c>
      <c r="V152" s="74">
        <v>0.34877284528224306</v>
      </c>
      <c r="W152" s="74">
        <v>0.34816088234106346</v>
      </c>
      <c r="X152" s="74">
        <v>0.34754999316077562</v>
      </c>
      <c r="Y152" s="74">
        <v>0.34694017585733994</v>
      </c>
      <c r="Z152" s="74">
        <v>0.34633142855002247</v>
      </c>
      <c r="AA152" s="74">
        <v>0.34572374936138933</v>
      </c>
      <c r="AB152" s="74">
        <v>0.34511713641730069</v>
      </c>
      <c r="AC152" s="74">
        <v>0.34451158784690528</v>
      </c>
      <c r="AD152" s="74">
        <v>0.34390710178263434</v>
      </c>
      <c r="AE152" s="74">
        <v>0.34330367636019604</v>
      </c>
      <c r="AF152" s="74">
        <v>0.34270130971856966</v>
      </c>
      <c r="AG152" s="74">
        <v>0.34209999999999979</v>
      </c>
    </row>
    <row r="153" spans="1:33" x14ac:dyDescent="0.25">
      <c r="A153" s="112"/>
      <c r="B153" s="68" t="s">
        <v>24</v>
      </c>
      <c r="C153" s="48"/>
      <c r="D153" s="95">
        <f>D151*T153</f>
        <v>47.640312720000011</v>
      </c>
      <c r="E153" s="95">
        <f t="shared" ref="E153" si="749">E151*U153</f>
        <v>52.18639019804327</v>
      </c>
      <c r="F153" s="95">
        <f t="shared" ref="F153" si="750">F151*V153</f>
        <v>58.32800107666845</v>
      </c>
      <c r="G153" s="95">
        <f t="shared" ref="G153" si="751">G151*W153</f>
        <v>65.141773619057503</v>
      </c>
      <c r="H153" s="95">
        <f t="shared" ref="H153" si="752">H151*X153</f>
        <v>72.695424031158964</v>
      </c>
      <c r="I153" s="95">
        <f t="shared" ref="I153" si="753">I151*Y153</f>
        <v>81.062860327566256</v>
      </c>
      <c r="J153" s="95">
        <f t="shared" ref="J153" si="754">J151*Z153</f>
        <v>90.324685635015541</v>
      </c>
      <c r="K153" s="95">
        <f t="shared" ref="K153" si="755">K151*AA153</f>
        <v>100.56873665713631</v>
      </c>
      <c r="L153" s="95">
        <f t="shared" ref="L153" si="756">L151*AB153</f>
        <v>111.8906592795428</v>
      </c>
      <c r="M153" s="95">
        <f t="shared" ref="M153" si="757">M151*AC153</f>
        <v>124.39452337007239</v>
      </c>
      <c r="N153" s="95">
        <f t="shared" ref="N153" si="758">N151*AD153</f>
        <v>138.19347890515792</v>
      </c>
      <c r="O153" s="95">
        <f t="shared" ref="O153" si="759">O151*AE153</f>
        <v>153.41045562978442</v>
      </c>
      <c r="P153" s="95">
        <f t="shared" ref="P153" si="760">P151*AF153</f>
        <v>170.17890853504409</v>
      </c>
      <c r="Q153" s="95">
        <f t="shared" ref="Q153" si="761">Q151*AG153</f>
        <v>188.64361151376966</v>
      </c>
      <c r="R153" s="81">
        <f t="shared" si="722"/>
        <v>0.11303051306944271</v>
      </c>
      <c r="S153" s="68" t="s">
        <v>24</v>
      </c>
      <c r="T153" s="74">
        <v>0.28000000000000003</v>
      </c>
      <c r="U153" s="74">
        <v>0.28097918830490543</v>
      </c>
      <c r="V153" s="74">
        <v>0.28196180093029821</v>
      </c>
      <c r="W153" s="74">
        <v>0.28294784985137333</v>
      </c>
      <c r="X153" s="74">
        <v>0.28393734708520407</v>
      </c>
      <c r="Y153" s="74">
        <v>0.28493030469088876</v>
      </c>
      <c r="Z153" s="74">
        <v>0.28592673476969749</v>
      </c>
      <c r="AA153" s="74">
        <v>0.28692664946521995</v>
      </c>
      <c r="AB153" s="74">
        <v>0.28793006096351298</v>
      </c>
      <c r="AC153" s="74">
        <v>0.28893698149324931</v>
      </c>
      <c r="AD153" s="74">
        <v>0.28994742332586665</v>
      </c>
      <c r="AE153" s="74">
        <v>0.29096139877571725</v>
      </c>
      <c r="AF153" s="74">
        <v>0.29197892020021765</v>
      </c>
      <c r="AG153" s="74">
        <v>0.29299999999999965</v>
      </c>
    </row>
    <row r="154" spans="1:33" x14ac:dyDescent="0.25">
      <c r="A154" s="112"/>
      <c r="B154" s="68" t="s">
        <v>25</v>
      </c>
      <c r="C154" s="48"/>
      <c r="D154" s="95">
        <f>D151*T154</f>
        <v>62.953270380000021</v>
      </c>
      <c r="E154" s="95">
        <f t="shared" ref="E154" si="762">E151*U154</f>
        <v>68.652460314201349</v>
      </c>
      <c r="F154" s="95">
        <f t="shared" ref="F154" si="763">F151*V154</f>
        <v>76.388042217873448</v>
      </c>
      <c r="G154" s="95">
        <f t="shared" ref="G154" si="764">G151*W154</f>
        <v>84.928128876716968</v>
      </c>
      <c r="H154" s="95">
        <f t="shared" ref="H154" si="765">H151*X154</f>
        <v>94.348927101970133</v>
      </c>
      <c r="I154" s="95">
        <f t="shared" ref="I154" si="766">I151*Y154</f>
        <v>104.73309201050832</v>
      </c>
      <c r="J154" s="95">
        <f t="shared" ref="J154" si="767">J151*Z154</f>
        <v>116.17019940350737</v>
      </c>
      <c r="K154" s="95">
        <f t="shared" ref="K154" si="768">K151*AA154</f>
        <v>128.75724639160427</v>
      </c>
      <c r="L154" s="95">
        <f t="shared" ref="L154" si="769">L151*AB154</f>
        <v>142.59918145448427</v>
      </c>
      <c r="M154" s="95">
        <f t="shared" ref="M154" si="770">M151*AC154</f>
        <v>157.80946513631014</v>
      </c>
      <c r="N154" s="95">
        <f t="shared" ref="N154" si="771">N151*AD154</f>
        <v>174.51066258923152</v>
      </c>
      <c r="O154" s="95">
        <f t="shared" ref="O154" si="772">O151*AE154</f>
        <v>192.8350691851536</v>
      </c>
      <c r="P154" s="95">
        <f t="shared" ref="P154" si="773">P151*AF154</f>
        <v>212.92537042079141</v>
      </c>
      <c r="Q154" s="95">
        <f t="shared" ref="Q154" si="774">Q151*AG154</f>
        <v>234.93533734257588</v>
      </c>
      <c r="R154" s="81">
        <f t="shared" si="722"/>
        <v>0.10796069311130856</v>
      </c>
      <c r="S154" s="68" t="s">
        <v>25</v>
      </c>
      <c r="T154" s="74">
        <f>1-SUM(T152:T153)</f>
        <v>0.37000000000000011</v>
      </c>
      <c r="U154" s="74">
        <f t="shared" ref="U154" si="775">1-SUM(U152:U153)</f>
        <v>0.36963492782342899</v>
      </c>
      <c r="V154" s="74">
        <f t="shared" ref="V154" si="776">1-SUM(V152:V153)</f>
        <v>0.36926535378745873</v>
      </c>
      <c r="W154" s="74">
        <f t="shared" ref="W154" si="777">1-SUM(W152:W153)</f>
        <v>0.36889126780756321</v>
      </c>
      <c r="X154" s="74">
        <f t="shared" ref="X154" si="778">1-SUM(X152:X153)</f>
        <v>0.36851265975402026</v>
      </c>
      <c r="Y154" s="74">
        <f t="shared" ref="Y154" si="779">1-SUM(Y152:Y153)</f>
        <v>0.3681295194517713</v>
      </c>
      <c r="Z154" s="74">
        <f t="shared" ref="Z154" si="780">1-SUM(Z152:Z153)</f>
        <v>0.36774183668028004</v>
      </c>
      <c r="AA154" s="74">
        <f t="shared" ref="AA154" si="781">1-SUM(AA152:AA153)</f>
        <v>0.36734960117339077</v>
      </c>
      <c r="AB154" s="74">
        <f t="shared" ref="AB154" si="782">1-SUM(AB152:AB153)</f>
        <v>0.36695280261918639</v>
      </c>
      <c r="AC154" s="74">
        <f t="shared" ref="AC154" si="783">1-SUM(AC152:AC153)</f>
        <v>0.36655143065984541</v>
      </c>
      <c r="AD154" s="74">
        <f t="shared" ref="AD154" si="784">1-SUM(AD152:AD153)</f>
        <v>0.36614547489149896</v>
      </c>
      <c r="AE154" s="74">
        <f t="shared" ref="AE154" si="785">1-SUM(AE152:AE153)</f>
        <v>0.36573492486408665</v>
      </c>
      <c r="AF154" s="74">
        <f t="shared" ref="AF154" si="786">1-SUM(AF152:AF153)</f>
        <v>0.36531977008121275</v>
      </c>
      <c r="AG154" s="74">
        <f t="shared" ref="AG154" si="787">1-SUM(AG152:AG153)</f>
        <v>0.36490000000000056</v>
      </c>
    </row>
    <row r="155" spans="1:33" ht="15.75" thickBot="1" x14ac:dyDescent="0.3">
      <c r="A155" s="111"/>
      <c r="B155" s="69" t="s">
        <v>26</v>
      </c>
      <c r="C155" s="58"/>
      <c r="D155" s="96">
        <f>D140*T155</f>
        <v>165.66650099999998</v>
      </c>
      <c r="E155" s="96">
        <f t="shared" ref="E155" si="788">E140*U155</f>
        <v>179.2084912961391</v>
      </c>
      <c r="F155" s="96">
        <f t="shared" ref="F155" si="789">F140*V155</f>
        <v>197.78164700260766</v>
      </c>
      <c r="G155" s="96">
        <f t="shared" ref="G155" si="790">G140*W155</f>
        <v>218.09301203255569</v>
      </c>
      <c r="H155" s="96">
        <f t="shared" ref="H155" si="791">H140*X155</f>
        <v>240.28550734391391</v>
      </c>
      <c r="I155" s="96">
        <f t="shared" ref="I155" si="792">I140*Y155</f>
        <v>264.51185841560209</v>
      </c>
      <c r="J155" s="96">
        <f t="shared" ref="J155" si="793">J140*Z155</f>
        <v>290.93508794857507</v>
      </c>
      <c r="K155" s="96">
        <f t="shared" ref="K155" si="794">K140*AA155</f>
        <v>319.72901714789259</v>
      </c>
      <c r="L155" s="96">
        <f t="shared" ref="L155" si="795">L140*AB155</f>
        <v>351.0787740819589</v>
      </c>
      <c r="M155" s="96">
        <f t="shared" ref="M155" si="796">M140*AC155</f>
        <v>385.18130741687128</v>
      </c>
      <c r="N155" s="96">
        <f t="shared" ref="N155" si="797">N140*AD155</f>
        <v>422.24590361370565</v>
      </c>
      <c r="O155" s="96">
        <f t="shared" ref="O155" si="798">O140*AE155</f>
        <v>462.4947054544142</v>
      </c>
      <c r="P155" s="96">
        <f t="shared" ref="P155" si="799">P140*AF155</f>
        <v>506.16322952770219</v>
      </c>
      <c r="Q155" s="96">
        <f t="shared" ref="Q155" si="800">Q140*AG155</f>
        <v>553.50088005973066</v>
      </c>
      <c r="R155" s="82">
        <f t="shared" si="722"/>
        <v>9.8533514294777774E-2</v>
      </c>
      <c r="S155" s="69" t="s">
        <v>26</v>
      </c>
      <c r="T155" s="12">
        <f>1-SUM(T150+T151)</f>
        <v>0.37</v>
      </c>
      <c r="U155" s="12">
        <f t="shared" ref="U155:AG155" si="801">1-SUM(U150+U151)</f>
        <v>0.36753417522645271</v>
      </c>
      <c r="V155" s="12">
        <f t="shared" si="801"/>
        <v>0.36505648803236646</v>
      </c>
      <c r="W155" s="12">
        <f t="shared" si="801"/>
        <v>0.36256687293191459</v>
      </c>
      <c r="X155" s="12">
        <f t="shared" si="801"/>
        <v>0.36006526405167993</v>
      </c>
      <c r="Y155" s="12">
        <f t="shared" si="801"/>
        <v>0.35755159512829038</v>
      </c>
      <c r="Z155" s="12">
        <f t="shared" si="801"/>
        <v>0.35502579950603996</v>
      </c>
      <c r="AA155" s="12">
        <f t="shared" si="801"/>
        <v>0.35248781013449515</v>
      </c>
      <c r="AB155" s="12">
        <f t="shared" si="801"/>
        <v>0.34993755956608608</v>
      </c>
      <c r="AC155" s="12">
        <f t="shared" si="801"/>
        <v>0.3473749799536836</v>
      </c>
      <c r="AD155" s="12">
        <f t="shared" si="801"/>
        <v>0.34480000304816039</v>
      </c>
      <c r="AE155" s="12">
        <f t="shared" si="801"/>
        <v>0.34221256019593804</v>
      </c>
      <c r="AF155" s="12">
        <f t="shared" si="801"/>
        <v>0.33961258233651859</v>
      </c>
      <c r="AG155" s="12">
        <f t="shared" si="801"/>
        <v>0.33699999999999986</v>
      </c>
    </row>
    <row r="156" spans="1:33" ht="15.75" thickBot="1" x14ac:dyDescent="0.3">
      <c r="A156" s="2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21"/>
    </row>
    <row r="157" spans="1:33" x14ac:dyDescent="0.25">
      <c r="A157" s="113" t="s">
        <v>27</v>
      </c>
      <c r="B157" s="61" t="s">
        <v>28</v>
      </c>
      <c r="C157" s="56"/>
      <c r="D157" s="91">
        <f>D140*T157</f>
        <v>179.5466673</v>
      </c>
      <c r="E157" s="91">
        <f t="shared" ref="E157" si="802">E140*U157</f>
        <v>196.33129686230959</v>
      </c>
      <c r="F157" s="91">
        <f t="shared" ref="F157" si="803">F140*V157</f>
        <v>219.0478046240147</v>
      </c>
      <c r="G157" s="91">
        <f t="shared" ref="G157" si="804">G140*W157</f>
        <v>244.20296018209888</v>
      </c>
      <c r="H157" s="91">
        <f t="shared" ref="H157" si="805">H140*X157</f>
        <v>272.03698490238082</v>
      </c>
      <c r="I157" s="91">
        <f t="shared" ref="I157" si="806">I140*Y157</f>
        <v>302.8114801017561</v>
      </c>
      <c r="J157" s="91">
        <f t="shared" ref="J157" si="807">J140*Z157</f>
        <v>336.81110665020447</v>
      </c>
      <c r="K157" s="91">
        <f t="shared" ref="K157" si="808">K140*AA157</f>
        <v>374.34537655580453</v>
      </c>
      <c r="L157" s="91">
        <f t="shared" ref="L157" si="809">L140*AB157</f>
        <v>415.75056238193605</v>
      </c>
      <c r="M157" s="91">
        <f t="shared" ref="M157" si="810">M140*AC157</f>
        <v>461.39173053336896</v>
      </c>
      <c r="N157" s="91">
        <f t="shared" ref="N157" si="811">N140*AD157</f>
        <v>511.66490463345696</v>
      </c>
      <c r="O157" s="91">
        <f t="shared" ref="O157" si="812">O140*AE157</f>
        <v>566.99936539751945</v>
      </c>
      <c r="P157" s="91">
        <f t="shared" ref="P157" si="813">P140*AF157</f>
        <v>627.86009358705189</v>
      </c>
      <c r="Q157" s="91">
        <f t="shared" ref="Q157" si="814">Q140*AG157</f>
        <v>694.75036280494305</v>
      </c>
      <c r="R157" s="78">
        <f>RATE(12,,-E157,Q157)</f>
        <v>0.11105767540775335</v>
      </c>
      <c r="S157" s="61" t="s">
        <v>28</v>
      </c>
      <c r="T157" s="12">
        <v>0.40099999999999997</v>
      </c>
      <c r="U157" s="12">
        <v>0.40265090533119946</v>
      </c>
      <c r="V157" s="12">
        <v>0.40430860739160734</v>
      </c>
      <c r="W157" s="12">
        <v>0.40597313416316017</v>
      </c>
      <c r="X157" s="12">
        <v>0.40764451374299493</v>
      </c>
      <c r="Y157" s="12">
        <v>0.40932277434392395</v>
      </c>
      <c r="Z157" s="12">
        <v>0.41100794429491083</v>
      </c>
      <c r="AA157" s="12">
        <v>0.4127000520415488</v>
      </c>
      <c r="AB157" s="12">
        <v>0.41439912614654062</v>
      </c>
      <c r="AC157" s="12">
        <v>0.41610519529018092</v>
      </c>
      <c r="AD157" s="12">
        <v>0.41781828827084017</v>
      </c>
      <c r="AE157" s="12">
        <v>0.4195384340054511</v>
      </c>
      <c r="AF157" s="12">
        <v>0.4212656615299965</v>
      </c>
      <c r="AG157" s="12">
        <v>0.42299999999999938</v>
      </c>
    </row>
    <row r="158" spans="1:33" x14ac:dyDescent="0.25">
      <c r="A158" s="114"/>
      <c r="B158" s="62" t="s">
        <v>29</v>
      </c>
      <c r="C158" s="47"/>
      <c r="D158" s="97">
        <f>D140*T158</f>
        <v>192.97908630000001</v>
      </c>
      <c r="E158" s="97">
        <f t="shared" ref="E158" si="815">E140*U158</f>
        <v>210.56202498420325</v>
      </c>
      <c r="F158" s="97">
        <f t="shared" ref="F158" si="816">F140*V158</f>
        <v>234.41588279771449</v>
      </c>
      <c r="G158" s="97">
        <f t="shared" ref="G158" si="817">G140*W158</f>
        <v>260.76942465102422</v>
      </c>
      <c r="H158" s="97">
        <f t="shared" ref="H158" si="818">H140*X158</f>
        <v>289.86201918138113</v>
      </c>
      <c r="I158" s="97">
        <f t="shared" ref="I158" si="819">I140*Y158</f>
        <v>321.95361967119055</v>
      </c>
      <c r="J158" s="97">
        <f t="shared" ref="J158" si="820">J140*Z158</f>
        <v>357.32631135816871</v>
      </c>
      <c r="K158" s="97">
        <f t="shared" ref="K158" si="821">K140*AA158</f>
        <v>396.28595566819439</v>
      </c>
      <c r="L158" s="97">
        <f t="shared" ref="L158" si="822">L140*AB158</f>
        <v>439.16393591864761</v>
      </c>
      <c r="M158" s="97">
        <f t="shared" ref="M158" si="823">M140*AC158</f>
        <v>486.31900914514284</v>
      </c>
      <c r="N158" s="97">
        <f t="shared" ref="N158" si="824">N140*AD158</f>
        <v>538.13926880467898</v>
      </c>
      <c r="O158" s="97">
        <f t="shared" ref="O158" si="825">O140*AE158</f>
        <v>595.04422320272636</v>
      </c>
      <c r="P158" s="97">
        <f t="shared" ref="P158" si="826">P140*AF158</f>
        <v>657.48699458005524</v>
      </c>
      <c r="Q158" s="97">
        <f t="shared" ref="Q158" si="827">Q140*AG158</f>
        <v>725.95664387656143</v>
      </c>
      <c r="R158" s="83">
        <f>RATE(12,,-E158,Q158)</f>
        <v>0.108649383007244</v>
      </c>
      <c r="S158" s="62" t="s">
        <v>29</v>
      </c>
      <c r="T158" s="12">
        <v>0.43099999999999999</v>
      </c>
      <c r="U158" s="12">
        <v>0.43183634674261745</v>
      </c>
      <c r="V158" s="12">
        <v>0.43267431639909548</v>
      </c>
      <c r="W158" s="12">
        <v>0.43351391211866536</v>
      </c>
      <c r="X158" s="12">
        <v>0.43435513705666956</v>
      </c>
      <c r="Y158" s="12">
        <v>0.43519799437457324</v>
      </c>
      <c r="Z158" s="12">
        <v>0.43604248723997657</v>
      </c>
      <c r="AA158" s="12">
        <v>0.43688861882662616</v>
      </c>
      <c r="AB158" s="12">
        <v>0.43773639231442729</v>
      </c>
      <c r="AC158" s="12">
        <v>0.43858581088945586</v>
      </c>
      <c r="AD158" s="12">
        <v>0.43943687774397006</v>
      </c>
      <c r="AE158" s="12">
        <v>0.44028959607642287</v>
      </c>
      <c r="AF158" s="12">
        <v>0.44114396909147369</v>
      </c>
      <c r="AG158" s="12">
        <v>0.44200000000000028</v>
      </c>
    </row>
    <row r="159" spans="1:33" ht="15.75" thickBot="1" x14ac:dyDescent="0.3">
      <c r="A159" s="115"/>
      <c r="B159" s="63" t="s">
        <v>30</v>
      </c>
      <c r="C159" s="51"/>
      <c r="D159" s="92">
        <f>D140*T159</f>
        <v>75.221546400000022</v>
      </c>
      <c r="E159" s="92">
        <f t="shared" ref="E159" si="828">E140*U159</f>
        <v>80.703487853487161</v>
      </c>
      <c r="F159" s="92">
        <f t="shared" ref="F159" si="829">F140*V159</f>
        <v>88.31999123205776</v>
      </c>
      <c r="G159" s="92">
        <f t="shared" ref="G159" si="830">G140*W159</f>
        <v>96.552542882793077</v>
      </c>
      <c r="H159" s="92">
        <f t="shared" ref="H159" si="831">H140*X159</f>
        <v>105.43975733985005</v>
      </c>
      <c r="I159" s="92">
        <f t="shared" ref="I159" si="832">I140*Y159</f>
        <v>115.02144297956038</v>
      </c>
      <c r="J159" s="92">
        <f t="shared" ref="J159" si="833">J140*Z159</f>
        <v>125.33848586498875</v>
      </c>
      <c r="K159" s="92">
        <f t="shared" ref="K159" si="834">K140*AA159</f>
        <v>136.43270787967688</v>
      </c>
      <c r="L159" s="92">
        <f t="shared" ref="L159" si="835">L140*AB159</f>
        <v>148.34669640308837</v>
      </c>
      <c r="M159" s="92">
        <f t="shared" ref="M159" si="836">M140*AC159</f>
        <v>161.12360258824697</v>
      </c>
      <c r="N159" s="92">
        <f t="shared" ref="N159" si="837">N140*AD159</f>
        <v>174.80690510274181</v>
      </c>
      <c r="O159" s="92">
        <f t="shared" ref="O159" si="838">O140*AE159</f>
        <v>189.44013598779134</v>
      </c>
      <c r="P159" s="92">
        <f t="shared" ref="P159" si="839">P140*AF159</f>
        <v>205.06656507660671</v>
      </c>
      <c r="Q159" s="92">
        <f t="shared" ref="Q159" si="840">Q140*AG159</f>
        <v>221.72883919306784</v>
      </c>
      <c r="R159" s="79">
        <f>RATE(12,,-E159,Q159)</f>
        <v>8.7871226019304527E-2</v>
      </c>
      <c r="S159" s="63" t="s">
        <v>30</v>
      </c>
      <c r="T159" s="12">
        <f>1-SUM(T157:T158)</f>
        <v>0.16800000000000004</v>
      </c>
      <c r="U159" s="12">
        <f t="shared" ref="U159" si="841">1-SUM(U157:U158)</f>
        <v>0.16551274792618309</v>
      </c>
      <c r="V159" s="12">
        <f t="shared" ref="V159" si="842">1-SUM(V157:V158)</f>
        <v>0.16301707620929717</v>
      </c>
      <c r="W159" s="12">
        <f t="shared" ref="W159" si="843">1-SUM(W157:W158)</f>
        <v>0.16051295371817442</v>
      </c>
      <c r="X159" s="12">
        <f t="shared" ref="X159" si="844">1-SUM(X157:X158)</f>
        <v>0.15800034920033545</v>
      </c>
      <c r="Y159" s="12">
        <f t="shared" ref="Y159" si="845">1-SUM(Y157:Y158)</f>
        <v>0.15547923128150276</v>
      </c>
      <c r="Z159" s="12">
        <f t="shared" ref="Z159" si="846">1-SUM(Z157:Z158)</f>
        <v>0.15294956846511254</v>
      </c>
      <c r="AA159" s="12">
        <f t="shared" ref="AA159" si="847">1-SUM(AA157:AA158)</f>
        <v>0.15041132913182498</v>
      </c>
      <c r="AB159" s="12">
        <f t="shared" ref="AB159" si="848">1-SUM(AB157:AB158)</f>
        <v>0.14786448153903209</v>
      </c>
      <c r="AC159" s="12">
        <f t="shared" ref="AC159" si="849">1-SUM(AC157:AC158)</f>
        <v>0.14530899382036322</v>
      </c>
      <c r="AD159" s="12">
        <f t="shared" ref="AD159" si="850">1-SUM(AD157:AD158)</f>
        <v>0.14274483398518978</v>
      </c>
      <c r="AE159" s="12">
        <f t="shared" ref="AE159" si="851">1-SUM(AE157:AE158)</f>
        <v>0.14017196991812608</v>
      </c>
      <c r="AF159" s="12">
        <f t="shared" ref="AF159" si="852">1-SUM(AF157:AF158)</f>
        <v>0.13759036937852986</v>
      </c>
      <c r="AG159" s="12">
        <f t="shared" ref="AG159" si="853">1-SUM(AG157:AG158)</f>
        <v>0.13500000000000034</v>
      </c>
    </row>
  </sheetData>
  <mergeCells count="36">
    <mergeCell ref="A55:A57"/>
    <mergeCell ref="A2:R2"/>
    <mergeCell ref="A14:A15"/>
    <mergeCell ref="A17:A18"/>
    <mergeCell ref="A20:A21"/>
    <mergeCell ref="A23:A28"/>
    <mergeCell ref="A30:A32"/>
    <mergeCell ref="A35:R35"/>
    <mergeCell ref="A39:A40"/>
    <mergeCell ref="A42:A43"/>
    <mergeCell ref="A45:A46"/>
    <mergeCell ref="A48:A53"/>
    <mergeCell ref="A106:A108"/>
    <mergeCell ref="A61:R61"/>
    <mergeCell ref="A65:A66"/>
    <mergeCell ref="A68:A69"/>
    <mergeCell ref="A71:A72"/>
    <mergeCell ref="A74:A79"/>
    <mergeCell ref="A81:A83"/>
    <mergeCell ref="A86:R86"/>
    <mergeCell ref="A90:A91"/>
    <mergeCell ref="A93:A94"/>
    <mergeCell ref="A96:A97"/>
    <mergeCell ref="A99:A104"/>
    <mergeCell ref="A157:A159"/>
    <mergeCell ref="A112:R112"/>
    <mergeCell ref="A116:A117"/>
    <mergeCell ref="A119:A120"/>
    <mergeCell ref="A122:A123"/>
    <mergeCell ref="A125:A130"/>
    <mergeCell ref="A132:A134"/>
    <mergeCell ref="A137:R137"/>
    <mergeCell ref="A141:A142"/>
    <mergeCell ref="A144:A145"/>
    <mergeCell ref="A147:A148"/>
    <mergeCell ref="A150:A15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3AED-EA5D-4207-91EC-355E5CC87889}">
  <dimension ref="A2:AG134"/>
  <sheetViews>
    <sheetView showGridLines="0" topLeftCell="A112" zoomScale="90" zoomScaleNormal="90" workbookViewId="0">
      <selection activeCell="G124" sqref="G124"/>
    </sheetView>
  </sheetViews>
  <sheetFormatPr defaultRowHeight="15" x14ac:dyDescent="0.25"/>
  <cols>
    <col min="1" max="1" width="15.28515625" customWidth="1"/>
    <col min="2" max="2" width="26.140625" customWidth="1"/>
    <col min="17" max="17" width="11.7109375" customWidth="1"/>
    <col min="18" max="18" width="26.42578125" customWidth="1"/>
    <col min="19" max="19" width="24.28515625" customWidth="1"/>
  </cols>
  <sheetData>
    <row r="2" spans="1:33" ht="26.25" x14ac:dyDescent="0.4">
      <c r="A2" s="109" t="s">
        <v>75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70"/>
    </row>
    <row r="3" spans="1:33" ht="26.25" x14ac:dyDescent="0.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70"/>
    </row>
    <row r="4" spans="1:33" ht="26.25" x14ac:dyDescent="0.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70"/>
    </row>
    <row r="5" spans="1:33" ht="26.25" x14ac:dyDescent="0.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70"/>
    </row>
    <row r="6" spans="1:33" ht="26.25" x14ac:dyDescent="0.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70"/>
    </row>
    <row r="7" spans="1:33" ht="26.25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70"/>
    </row>
    <row r="8" spans="1:33" ht="26.25" x14ac:dyDescent="0.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70"/>
    </row>
    <row r="9" spans="1:33" ht="26.25" x14ac:dyDescent="0.4">
      <c r="A9" s="103"/>
      <c r="B9" s="103"/>
      <c r="C9" s="10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70"/>
    </row>
    <row r="10" spans="1:33" ht="26.25" x14ac:dyDescent="0.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70"/>
    </row>
    <row r="11" spans="1:33" ht="27" thickBot="1" x14ac:dyDescent="0.4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70"/>
    </row>
    <row r="12" spans="1:33" ht="15.75" x14ac:dyDescent="0.25">
      <c r="A12" s="49"/>
      <c r="B12" s="50"/>
      <c r="C12" s="100"/>
      <c r="D12" s="98">
        <v>2023</v>
      </c>
      <c r="E12" s="72">
        <v>2024</v>
      </c>
      <c r="F12" s="72">
        <v>2025</v>
      </c>
      <c r="G12" s="72">
        <v>2026</v>
      </c>
      <c r="H12" s="72">
        <v>2027</v>
      </c>
      <c r="I12" s="72">
        <v>2028</v>
      </c>
      <c r="J12" s="72">
        <v>2029</v>
      </c>
      <c r="K12" s="72">
        <v>2030</v>
      </c>
      <c r="L12" s="72">
        <v>2031</v>
      </c>
      <c r="M12" s="72">
        <v>2032</v>
      </c>
      <c r="N12" s="72">
        <v>2033</v>
      </c>
      <c r="O12" s="72">
        <v>2034</v>
      </c>
      <c r="P12" s="72">
        <v>2035</v>
      </c>
      <c r="Q12" s="72">
        <v>2036</v>
      </c>
      <c r="R12" s="73" t="s">
        <v>13</v>
      </c>
    </row>
    <row r="13" spans="1:33" ht="16.5" thickBot="1" x14ac:dyDescent="0.3">
      <c r="A13" s="26"/>
      <c r="B13" s="101"/>
      <c r="C13" s="102"/>
      <c r="D13" s="99">
        <f>D38+D64+D89+D115</f>
        <v>284.28400000000028</v>
      </c>
      <c r="E13" s="99">
        <f t="shared" ref="E13:Q13" si="0">E38+E64+E89+E115</f>
        <v>307.08357680000029</v>
      </c>
      <c r="F13" s="99">
        <f t="shared" si="0"/>
        <v>324.44817124639212</v>
      </c>
      <c r="G13" s="99">
        <f t="shared" si="0"/>
        <v>342.97580214214793</v>
      </c>
      <c r="H13" s="99">
        <f t="shared" si="0"/>
        <v>362.75617198836312</v>
      </c>
      <c r="I13" s="99">
        <f t="shared" si="0"/>
        <v>383.88681357416795</v>
      </c>
      <c r="J13" s="99">
        <f t="shared" si="0"/>
        <v>406.47385301941029</v>
      </c>
      <c r="K13" s="99">
        <f t="shared" si="0"/>
        <v>430.6328548245591</v>
      </c>
      <c r="L13" s="99">
        <f t="shared" si="0"/>
        <v>456.48975854208902</v>
      </c>
      <c r="M13" s="99">
        <f t="shared" si="0"/>
        <v>484.18191790115463</v>
      </c>
      <c r="N13" s="99">
        <f t="shared" si="0"/>
        <v>513.85925460004955</v>
      </c>
      <c r="O13" s="99">
        <f t="shared" si="0"/>
        <v>545.68554055260176</v>
      </c>
      <c r="P13" s="99">
        <f t="shared" si="0"/>
        <v>579.83982416273386</v>
      </c>
      <c r="Q13" s="99">
        <f t="shared" si="0"/>
        <v>616.51801823757569</v>
      </c>
      <c r="R13" s="75">
        <f>RATE(12,,-E13,Q13)</f>
        <v>5.9800447611111585E-2</v>
      </c>
      <c r="T13" s="72">
        <v>2023</v>
      </c>
      <c r="U13" s="72">
        <v>2024</v>
      </c>
      <c r="V13" s="72">
        <v>2025</v>
      </c>
      <c r="W13" s="72">
        <v>2026</v>
      </c>
      <c r="X13" s="72">
        <v>2027</v>
      </c>
      <c r="Y13" s="72">
        <v>2028</v>
      </c>
      <c r="Z13" s="72">
        <v>2029</v>
      </c>
      <c r="AA13" s="72">
        <v>2030</v>
      </c>
      <c r="AB13" s="72">
        <v>2031</v>
      </c>
      <c r="AC13" s="72">
        <v>2032</v>
      </c>
      <c r="AD13" s="72">
        <v>2033</v>
      </c>
      <c r="AE13" s="72">
        <v>2034</v>
      </c>
      <c r="AF13" s="72">
        <v>2035</v>
      </c>
      <c r="AG13" s="72">
        <v>2036</v>
      </c>
    </row>
    <row r="14" spans="1:33" x14ac:dyDescent="0.25">
      <c r="A14" s="110" t="s">
        <v>51</v>
      </c>
      <c r="B14" s="59" t="s">
        <v>34</v>
      </c>
      <c r="C14" s="52"/>
      <c r="D14" s="86">
        <f>D39+D65</f>
        <v>47.75971200000005</v>
      </c>
      <c r="E14" s="86">
        <f t="shared" ref="E14:Q32" si="1">E39+E65</f>
        <v>53.834047111617494</v>
      </c>
      <c r="F14" s="86">
        <f t="shared" si="1"/>
        <v>57.077170981305848</v>
      </c>
      <c r="G14" s="86">
        <f t="shared" si="1"/>
        <v>60.546473976497722</v>
      </c>
      <c r="H14" s="86">
        <f t="shared" si="1"/>
        <v>64.259739712609232</v>
      </c>
      <c r="I14" s="86">
        <f t="shared" si="1"/>
        <v>68.236306723351163</v>
      </c>
      <c r="J14" s="86">
        <f t="shared" si="1"/>
        <v>72.497218328470666</v>
      </c>
      <c r="K14" s="86">
        <f t="shared" si="1"/>
        <v>77.065388321640839</v>
      </c>
      <c r="L14" s="86">
        <f t="shared" si="1"/>
        <v>81.965784297405236</v>
      </c>
      <c r="M14" s="86">
        <f t="shared" si="1"/>
        <v>87.225630662651781</v>
      </c>
      <c r="N14" s="86">
        <f t="shared" si="1"/>
        <v>92.874633635072641</v>
      </c>
      <c r="O14" s="86">
        <f t="shared" si="1"/>
        <v>98.94523082283439</v>
      </c>
      <c r="P14" s="86">
        <f t="shared" si="1"/>
        <v>105.47286831128298</v>
      </c>
      <c r="Q14" s="86">
        <f t="shared" si="1"/>
        <v>112.49630855976716</v>
      </c>
      <c r="R14" s="84">
        <f>RATE(12,,-E14,Q14)</f>
        <v>6.3343147751615037E-2</v>
      </c>
      <c r="S14" s="59" t="s">
        <v>34</v>
      </c>
      <c r="T14" s="12">
        <v>0.56000000000000005</v>
      </c>
      <c r="U14" s="12">
        <v>0.56092161367703952</v>
      </c>
      <c r="V14" s="12">
        <v>0.56184474408938223</v>
      </c>
      <c r="W14" s="12">
        <v>0.56276939373317769</v>
      </c>
      <c r="X14" s="12">
        <v>0.56369556510868446</v>
      </c>
      <c r="Y14" s="12">
        <v>0.56462326072027491</v>
      </c>
      <c r="Z14" s="12">
        <v>0.56555248307644368</v>
      </c>
      <c r="AA14" s="12">
        <v>0.56648323468981299</v>
      </c>
      <c r="AB14" s="12">
        <v>0.56741551807714108</v>
      </c>
      <c r="AC14" s="12">
        <v>0.56834933575932756</v>
      </c>
      <c r="AD14" s="12">
        <v>0.56928469026142059</v>
      </c>
      <c r="AE14" s="12">
        <v>0.57022158411262425</v>
      </c>
      <c r="AF14" s="12">
        <v>0.57116001984630527</v>
      </c>
      <c r="AG14" s="12">
        <v>0.57209999999999905</v>
      </c>
    </row>
    <row r="15" spans="1:33" ht="15.75" thickBot="1" x14ac:dyDescent="0.3">
      <c r="A15" s="111"/>
      <c r="B15" s="60" t="s">
        <v>35</v>
      </c>
      <c r="C15" s="53"/>
      <c r="D15" s="87">
        <f>D40+D66</f>
        <v>37.525488000000038</v>
      </c>
      <c r="E15" s="87">
        <f t="shared" si="1"/>
        <v>42.140231288382608</v>
      </c>
      <c r="F15" s="87">
        <f t="shared" si="1"/>
        <v>44.511696017556048</v>
      </c>
      <c r="G15" s="87">
        <f t="shared" si="1"/>
        <v>47.040176347283463</v>
      </c>
      <c r="H15" s="87">
        <f t="shared" si="1"/>
        <v>49.737502221021202</v>
      </c>
      <c r="I15" s="87">
        <f t="shared" si="1"/>
        <v>52.616501636516823</v>
      </c>
      <c r="J15" s="87">
        <f t="shared" si="1"/>
        <v>55.691093981832609</v>
      </c>
      <c r="K15" s="87">
        <f t="shared" si="1"/>
        <v>58.976392974568626</v>
      </c>
      <c r="L15" s="87">
        <f t="shared" si="1"/>
        <v>62.488820284385312</v>
      </c>
      <c r="M15" s="87">
        <f t="shared" si="1"/>
        <v>66.246231050912755</v>
      </c>
      <c r="N15" s="87">
        <f t="shared" si="1"/>
        <v>70.268052658535197</v>
      </c>
      <c r="O15" s="87">
        <f t="shared" si="1"/>
        <v>74.575438298823698</v>
      </c>
      <c r="P15" s="87">
        <f t="shared" si="1"/>
        <v>79.191437043396633</v>
      </c>
      <c r="Q15" s="87">
        <f t="shared" si="1"/>
        <v>84.141182367985593</v>
      </c>
      <c r="R15" s="85">
        <f>RATE(12,,-E15,Q15)</f>
        <v>5.9317079768003704E-2</v>
      </c>
      <c r="S15" s="60" t="s">
        <v>35</v>
      </c>
      <c r="T15" s="12">
        <f>1-T14</f>
        <v>0.43999999999999995</v>
      </c>
      <c r="U15" s="12">
        <f t="shared" ref="U15:AG15" si="2">1-U14</f>
        <v>0.43907838632296048</v>
      </c>
      <c r="V15" s="12">
        <f t="shared" si="2"/>
        <v>0.43815525591061777</v>
      </c>
      <c r="W15" s="12">
        <f t="shared" si="2"/>
        <v>0.43723060626682231</v>
      </c>
      <c r="X15" s="12">
        <f t="shared" si="2"/>
        <v>0.43630443489131554</v>
      </c>
      <c r="Y15" s="12">
        <f t="shared" si="2"/>
        <v>0.43537673927972509</v>
      </c>
      <c r="Z15" s="12">
        <f t="shared" si="2"/>
        <v>0.43444751692355632</v>
      </c>
      <c r="AA15" s="12">
        <f t="shared" si="2"/>
        <v>0.43351676531018701</v>
      </c>
      <c r="AB15" s="12">
        <f t="shared" si="2"/>
        <v>0.43258448192285892</v>
      </c>
      <c r="AC15" s="12">
        <f t="shared" si="2"/>
        <v>0.43165066424067244</v>
      </c>
      <c r="AD15" s="12">
        <f t="shared" si="2"/>
        <v>0.43071530973857941</v>
      </c>
      <c r="AE15" s="12">
        <f t="shared" si="2"/>
        <v>0.42977841588737575</v>
      </c>
      <c r="AF15" s="12">
        <f t="shared" si="2"/>
        <v>0.42883998015369473</v>
      </c>
      <c r="AG15" s="12">
        <f t="shared" si="2"/>
        <v>0.42790000000000095</v>
      </c>
    </row>
    <row r="16" spans="1:33" ht="15.75" thickBot="1" x14ac:dyDescent="0.3">
      <c r="A16" s="1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21"/>
    </row>
    <row r="17" spans="1:33" x14ac:dyDescent="0.25">
      <c r="A17" s="110" t="s">
        <v>15</v>
      </c>
      <c r="B17" s="64" t="s">
        <v>16</v>
      </c>
      <c r="C17" s="54"/>
      <c r="D17" s="89">
        <f>D42+D68</f>
        <v>40.169329200000035</v>
      </c>
      <c r="E17" s="89">
        <f t="shared" si="1"/>
        <v>45.144824032000045</v>
      </c>
      <c r="F17" s="89">
        <f t="shared" si="1"/>
        <v>47.723323904773039</v>
      </c>
      <c r="G17" s="89">
        <f t="shared" si="1"/>
        <v>50.474690794210872</v>
      </c>
      <c r="H17" s="89">
        <f t="shared" si="1"/>
        <v>53.412092355210987</v>
      </c>
      <c r="I17" s="89">
        <f t="shared" si="1"/>
        <v>56.549817942544372</v>
      </c>
      <c r="J17" s="89">
        <f t="shared" si="1"/>
        <v>59.903384406545555</v>
      </c>
      <c r="K17" s="89">
        <f t="shared" si="1"/>
        <v>63.4896528557002</v>
      </c>
      <c r="L17" s="89">
        <f t="shared" si="1"/>
        <v>67.326957627774533</v>
      </c>
      <c r="M17" s="89">
        <f t="shared" si="1"/>
        <v>71.435248863752236</v>
      </c>
      <c r="N17" s="89">
        <f t="shared" si="1"/>
        <v>75.836250251713238</v>
      </c>
      <c r="O17" s="89">
        <f t="shared" si="1"/>
        <v>80.553633703785124</v>
      </c>
      <c r="P17" s="89">
        <f t="shared" si="1"/>
        <v>85.613212951742625</v>
      </c>
      <c r="Q17" s="89">
        <f t="shared" si="1"/>
        <v>91.043158299549518</v>
      </c>
      <c r="R17" s="76">
        <f>RATE(12,,-E17,Q17)</f>
        <v>6.0197101447681055E-2</v>
      </c>
      <c r="S17" s="64" t="s">
        <v>16</v>
      </c>
      <c r="T17" s="12">
        <v>0.47099999999999992</v>
      </c>
      <c r="U17" s="12">
        <v>0.47038461538461535</v>
      </c>
      <c r="V17" s="12">
        <v>0.46976923076923072</v>
      </c>
      <c r="W17" s="12">
        <v>0.46915384615384609</v>
      </c>
      <c r="X17" s="12">
        <v>0.46853846153846151</v>
      </c>
      <c r="Y17" s="12">
        <v>0.46792307692307689</v>
      </c>
      <c r="Z17" s="12">
        <v>0.46730769230769226</v>
      </c>
      <c r="AA17" s="12">
        <v>0.46669230769230763</v>
      </c>
      <c r="AB17" s="12">
        <v>0.46607692307692306</v>
      </c>
      <c r="AC17" s="12">
        <v>0.46546153846153843</v>
      </c>
      <c r="AD17" s="12">
        <v>0.4648461538461538</v>
      </c>
      <c r="AE17" s="12">
        <v>0.46423076923076922</v>
      </c>
      <c r="AF17" s="12">
        <v>0.4636153846153846</v>
      </c>
      <c r="AG17" s="12">
        <v>0.46299999999999997</v>
      </c>
    </row>
    <row r="18" spans="1:33" ht="15.75" thickBot="1" x14ac:dyDescent="0.3">
      <c r="A18" s="111"/>
      <c r="B18" s="65" t="s">
        <v>17</v>
      </c>
      <c r="C18" s="55"/>
      <c r="D18" s="90">
        <f>D43+D69</f>
        <v>45.115870800000053</v>
      </c>
      <c r="E18" s="90">
        <f t="shared" si="1"/>
        <v>50.82945436800005</v>
      </c>
      <c r="F18" s="90">
        <f t="shared" si="1"/>
        <v>53.865543094088856</v>
      </c>
      <c r="G18" s="90">
        <f t="shared" si="1"/>
        <v>57.111959529570314</v>
      </c>
      <c r="H18" s="90">
        <f t="shared" si="1"/>
        <v>60.585149578419433</v>
      </c>
      <c r="I18" s="90">
        <f t="shared" si="1"/>
        <v>64.302990417323599</v>
      </c>
      <c r="J18" s="90">
        <f t="shared" si="1"/>
        <v>68.284927903757705</v>
      </c>
      <c r="K18" s="90">
        <f t="shared" si="1"/>
        <v>72.552128440509264</v>
      </c>
      <c r="L18" s="90">
        <f t="shared" si="1"/>
        <v>77.127646954016015</v>
      </c>
      <c r="M18" s="90">
        <f t="shared" si="1"/>
        <v>82.036612849812329</v>
      </c>
      <c r="N18" s="90">
        <f t="shared" si="1"/>
        <v>87.306436041894599</v>
      </c>
      <c r="O18" s="90">
        <f t="shared" si="1"/>
        <v>92.967035417872978</v>
      </c>
      <c r="P18" s="90">
        <f t="shared" si="1"/>
        <v>99.051092402937016</v>
      </c>
      <c r="Q18" s="90">
        <f t="shared" si="1"/>
        <v>105.59433262820323</v>
      </c>
      <c r="R18" s="77">
        <f>RATE(12,,-E18,Q18)</f>
        <v>6.2821742076374074E-2</v>
      </c>
      <c r="S18" s="65" t="s">
        <v>17</v>
      </c>
      <c r="T18" s="12">
        <f>1-T17</f>
        <v>0.52900000000000014</v>
      </c>
      <c r="U18" s="12">
        <f t="shared" ref="U18:AG18" si="3">1-U17</f>
        <v>0.5296153846153846</v>
      </c>
      <c r="V18" s="12">
        <f t="shared" si="3"/>
        <v>0.53023076923076928</v>
      </c>
      <c r="W18" s="12">
        <f t="shared" si="3"/>
        <v>0.53084615384615397</v>
      </c>
      <c r="X18" s="12">
        <f t="shared" si="3"/>
        <v>0.53146153846153843</v>
      </c>
      <c r="Y18" s="12">
        <f t="shared" si="3"/>
        <v>0.53207692307692311</v>
      </c>
      <c r="Z18" s="12">
        <f t="shared" si="3"/>
        <v>0.5326923076923078</v>
      </c>
      <c r="AA18" s="12">
        <f t="shared" si="3"/>
        <v>0.53330769230769237</v>
      </c>
      <c r="AB18" s="12">
        <f t="shared" si="3"/>
        <v>0.53392307692307694</v>
      </c>
      <c r="AC18" s="12">
        <f t="shared" si="3"/>
        <v>0.53453846153846163</v>
      </c>
      <c r="AD18" s="12">
        <f t="shared" si="3"/>
        <v>0.5351538461538462</v>
      </c>
      <c r="AE18" s="12">
        <f t="shared" si="3"/>
        <v>0.53576923076923078</v>
      </c>
      <c r="AF18" s="12">
        <f t="shared" si="3"/>
        <v>0.53638461538461546</v>
      </c>
      <c r="AG18" s="12">
        <f t="shared" si="3"/>
        <v>0.53700000000000003</v>
      </c>
    </row>
    <row r="19" spans="1:33" ht="15.75" thickBot="1" x14ac:dyDescent="0.3">
      <c r="A19" s="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21"/>
    </row>
    <row r="20" spans="1:33" x14ac:dyDescent="0.25">
      <c r="A20" s="110" t="s">
        <v>18</v>
      </c>
      <c r="B20" s="61" t="s">
        <v>19</v>
      </c>
      <c r="C20" s="56"/>
      <c r="D20" s="91">
        <f>D45+D71</f>
        <v>34.199365200000031</v>
      </c>
      <c r="E20" s="91">
        <f t="shared" si="1"/>
        <v>38.644130086268625</v>
      </c>
      <c r="F20" s="91">
        <f t="shared" si="1"/>
        <v>41.073253342801067</v>
      </c>
      <c r="G20" s="91">
        <f t="shared" si="1"/>
        <v>43.677289626061423</v>
      </c>
      <c r="H20" s="91">
        <f t="shared" si="1"/>
        <v>46.470350256077325</v>
      </c>
      <c r="I20" s="91">
        <f t="shared" si="1"/>
        <v>49.467806805115728</v>
      </c>
      <c r="J20" s="91">
        <f t="shared" si="1"/>
        <v>52.686414725291755</v>
      </c>
      <c r="K20" s="91">
        <f t="shared" si="1"/>
        <v>56.144450220770644</v>
      </c>
      <c r="L20" s="91">
        <f t="shared" si="1"/>
        <v>59.861861906538067</v>
      </c>
      <c r="M20" s="91">
        <f t="shared" si="1"/>
        <v>63.860438989870417</v>
      </c>
      <c r="N20" s="91">
        <f t="shared" si="1"/>
        <v>68.163997931101875</v>
      </c>
      <c r="O20" s="91">
        <f t="shared" si="1"/>
        <v>72.798589790878481</v>
      </c>
      <c r="P20" s="91">
        <f t="shared" si="1"/>
        <v>77.792730756216386</v>
      </c>
      <c r="Q20" s="91">
        <f t="shared" si="1"/>
        <v>83.177658662439285</v>
      </c>
      <c r="R20" s="78">
        <f>RATE(12,,-E20,Q20)</f>
        <v>6.5966598055496969E-2</v>
      </c>
      <c r="S20" s="61" t="s">
        <v>19</v>
      </c>
      <c r="T20" s="12">
        <v>0.40099999999999997</v>
      </c>
      <c r="U20" s="12">
        <v>0.40265090533119946</v>
      </c>
      <c r="V20" s="12">
        <v>0.40430860739160734</v>
      </c>
      <c r="W20" s="12">
        <v>0.40597313416316017</v>
      </c>
      <c r="X20" s="12">
        <v>0.40764451374299493</v>
      </c>
      <c r="Y20" s="12">
        <v>0.40932277434392395</v>
      </c>
      <c r="Z20" s="12">
        <v>0.41100794429491083</v>
      </c>
      <c r="AA20" s="12">
        <v>0.4127000520415488</v>
      </c>
      <c r="AB20" s="12">
        <v>0.41439912614654062</v>
      </c>
      <c r="AC20" s="12">
        <v>0.41610519529018092</v>
      </c>
      <c r="AD20" s="12">
        <v>0.41781828827084017</v>
      </c>
      <c r="AE20" s="12">
        <v>0.4195384340054511</v>
      </c>
      <c r="AF20" s="12">
        <v>0.4212656615299965</v>
      </c>
      <c r="AG20" s="12">
        <v>0.42299999999999938</v>
      </c>
    </row>
    <row r="21" spans="1:33" ht="15.75" thickBot="1" x14ac:dyDescent="0.3">
      <c r="A21" s="111"/>
      <c r="B21" s="63" t="s">
        <v>20</v>
      </c>
      <c r="C21" s="51"/>
      <c r="D21" s="92">
        <f>D46+D72</f>
        <v>51.085834800000043</v>
      </c>
      <c r="E21" s="92">
        <f t="shared" si="1"/>
        <v>57.330148313731478</v>
      </c>
      <c r="F21" s="92">
        <f t="shared" si="1"/>
        <v>60.515613656060829</v>
      </c>
      <c r="G21" s="92">
        <f t="shared" si="1"/>
        <v>63.909360697719762</v>
      </c>
      <c r="H21" s="92">
        <f t="shared" si="1"/>
        <v>67.526891677553095</v>
      </c>
      <c r="I21" s="92">
        <f t="shared" si="1"/>
        <v>71.38500155475225</v>
      </c>
      <c r="J21" s="92">
        <f t="shared" si="1"/>
        <v>75.501897585011505</v>
      </c>
      <c r="K21" s="92">
        <f t="shared" si="1"/>
        <v>79.897331075438814</v>
      </c>
      <c r="L21" s="92">
        <f t="shared" si="1"/>
        <v>84.592742675252481</v>
      </c>
      <c r="M21" s="92">
        <f t="shared" si="1"/>
        <v>89.611422723694133</v>
      </c>
      <c r="N21" s="92">
        <f t="shared" si="1"/>
        <v>94.978688362505949</v>
      </c>
      <c r="O21" s="92">
        <f t="shared" si="1"/>
        <v>100.72207933077962</v>
      </c>
      <c r="P21" s="92">
        <f t="shared" si="1"/>
        <v>106.87157459846323</v>
      </c>
      <c r="Q21" s="92">
        <f t="shared" si="1"/>
        <v>113.45983226531345</v>
      </c>
      <c r="R21" s="79">
        <f>RATE(12,,-E21,Q21)</f>
        <v>5.8534269535415545E-2</v>
      </c>
      <c r="S21" s="63" t="s">
        <v>20</v>
      </c>
      <c r="T21" s="12">
        <f>1-T20</f>
        <v>0.59899999999999998</v>
      </c>
      <c r="U21" s="12">
        <f t="shared" ref="U21:AG21" si="4">1-U20</f>
        <v>0.59734909466880048</v>
      </c>
      <c r="V21" s="12">
        <f t="shared" si="4"/>
        <v>0.59569139260839266</v>
      </c>
      <c r="W21" s="12">
        <f t="shared" si="4"/>
        <v>0.59402686583683983</v>
      </c>
      <c r="X21" s="12">
        <f t="shared" si="4"/>
        <v>0.59235548625700507</v>
      </c>
      <c r="Y21" s="12">
        <f t="shared" si="4"/>
        <v>0.59067722565607605</v>
      </c>
      <c r="Z21" s="12">
        <f t="shared" si="4"/>
        <v>0.58899205570508917</v>
      </c>
      <c r="AA21" s="12">
        <f t="shared" si="4"/>
        <v>0.5872999479584512</v>
      </c>
      <c r="AB21" s="12">
        <f t="shared" si="4"/>
        <v>0.58560087385345938</v>
      </c>
      <c r="AC21" s="12">
        <f t="shared" si="4"/>
        <v>0.58389480470981914</v>
      </c>
      <c r="AD21" s="12">
        <f t="shared" si="4"/>
        <v>0.58218171172915989</v>
      </c>
      <c r="AE21" s="12">
        <f t="shared" si="4"/>
        <v>0.5804615659945489</v>
      </c>
      <c r="AF21" s="12">
        <f t="shared" si="4"/>
        <v>0.57873433847000344</v>
      </c>
      <c r="AG21" s="12">
        <f t="shared" si="4"/>
        <v>0.57700000000000062</v>
      </c>
    </row>
    <row r="22" spans="1:33" ht="15.75" thickBot="1" x14ac:dyDescent="0.3">
      <c r="A22" s="2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21"/>
    </row>
    <row r="23" spans="1:33" x14ac:dyDescent="0.25">
      <c r="A23" s="110" t="s">
        <v>14</v>
      </c>
      <c r="B23" s="66" t="s">
        <v>21</v>
      </c>
      <c r="C23" s="57"/>
      <c r="D23" s="93">
        <f t="shared" ref="D23:D28" si="5">D48+D74</f>
        <v>21.321300000000022</v>
      </c>
      <c r="E23" s="93">
        <f t="shared" si="1"/>
        <v>24.142899376587287</v>
      </c>
      <c r="F23" s="93">
        <f t="shared" si="1"/>
        <v>25.714331937280576</v>
      </c>
      <c r="G23" s="93">
        <f t="shared" si="1"/>
        <v>27.401988219657987</v>
      </c>
      <c r="H23" s="93">
        <f t="shared" si="1"/>
        <v>29.215450899724814</v>
      </c>
      <c r="I23" s="93">
        <f t="shared" si="1"/>
        <v>31.165174034688086</v>
      </c>
      <c r="J23" s="93">
        <f t="shared" si="1"/>
        <v>33.262569843011221</v>
      </c>
      <c r="K23" s="93">
        <f t="shared" si="1"/>
        <v>35.520104900389313</v>
      </c>
      <c r="L23" s="93">
        <f t="shared" si="1"/>
        <v>37.951406859775297</v>
      </c>
      <c r="M23" s="93">
        <f t="shared" si="1"/>
        <v>40.571382944420144</v>
      </c>
      <c r="N23" s="93">
        <f t="shared" si="1"/>
        <v>43.396351622964062</v>
      </c>
      <c r="O23" s="93">
        <f t="shared" si="1"/>
        <v>46.444189057742705</v>
      </c>
      <c r="P23" s="93">
        <f t="shared" si="1"/>
        <v>49.734492124903483</v>
      </c>
      <c r="Q23" s="93">
        <f t="shared" si="1"/>
        <v>53.288760041421021</v>
      </c>
      <c r="R23" s="80">
        <f t="shared" ref="R23:R28" si="6">RATE(12,,-E23,Q23)</f>
        <v>6.8203137459762767E-2</v>
      </c>
      <c r="S23" s="66" t="s">
        <v>21</v>
      </c>
      <c r="T23" s="12">
        <v>0.25</v>
      </c>
      <c r="U23" s="12">
        <v>0.25155593539307364</v>
      </c>
      <c r="V23" s="12">
        <v>0.25312155452593693</v>
      </c>
      <c r="W23" s="12">
        <v>0.25469691766768382</v>
      </c>
      <c r="X23" s="12">
        <v>0.25628208546250747</v>
      </c>
      <c r="Y23" s="12">
        <v>0.2578771189320348</v>
      </c>
      <c r="Z23" s="12">
        <v>0.25948207947767565</v>
      </c>
      <c r="AA23" s="12">
        <v>0.2610970288829863</v>
      </c>
      <c r="AB23" s="12">
        <v>0.26272202931604799</v>
      </c>
      <c r="AC23" s="12">
        <v>0.26435714333185978</v>
      </c>
      <c r="AD23" s="12">
        <v>0.26600243387474731</v>
      </c>
      <c r="AE23" s="12">
        <v>0.26765796428078514</v>
      </c>
      <c r="AF23" s="12">
        <v>0.26932379828023517</v>
      </c>
      <c r="AG23" s="12">
        <v>0.27100000000000013</v>
      </c>
    </row>
    <row r="24" spans="1:33" x14ac:dyDescent="0.25">
      <c r="A24" s="112"/>
      <c r="B24" s="67" t="s">
        <v>22</v>
      </c>
      <c r="C24" s="48"/>
      <c r="D24" s="94">
        <f t="shared" si="5"/>
        <v>32.408376000000032</v>
      </c>
      <c r="E24" s="94">
        <f t="shared" si="1"/>
        <v>36.557551768714831</v>
      </c>
      <c r="F24" s="94">
        <f t="shared" si="1"/>
        <v>38.788860051789626</v>
      </c>
      <c r="G24" s="94">
        <f t="shared" si="1"/>
        <v>41.177306727010503</v>
      </c>
      <c r="H24" s="94">
        <f t="shared" si="1"/>
        <v>43.735344015909739</v>
      </c>
      <c r="I24" s="94">
        <f t="shared" si="1"/>
        <v>46.476519920375509</v>
      </c>
      <c r="J24" s="94">
        <f t="shared" si="1"/>
        <v>49.415584401996682</v>
      </c>
      <c r="K24" s="94">
        <f t="shared" si="1"/>
        <v>52.56860681992336</v>
      </c>
      <c r="L24" s="94">
        <f t="shared" si="1"/>
        <v>55.953105926579511</v>
      </c>
      <c r="M24" s="94">
        <f t="shared" si="1"/>
        <v>59.588193882940423</v>
      </c>
      <c r="N24" s="94">
        <f t="shared" si="1"/>
        <v>63.494735939322723</v>
      </c>
      <c r="O24" s="94">
        <f t="shared" si="1"/>
        <v>67.695527636880527</v>
      </c>
      <c r="P24" s="94">
        <f t="shared" si="1"/>
        <v>72.215491622894007</v>
      </c>
      <c r="Q24" s="94">
        <f t="shared" si="1"/>
        <v>77.081896443679085</v>
      </c>
      <c r="R24" s="81">
        <f t="shared" si="6"/>
        <v>6.4137972167362875E-2</v>
      </c>
      <c r="S24" s="67" t="s">
        <v>22</v>
      </c>
      <c r="T24" s="12">
        <v>0.38</v>
      </c>
      <c r="U24" s="12">
        <v>0.38090988938047371</v>
      </c>
      <c r="V24" s="12">
        <v>0.38182195744169661</v>
      </c>
      <c r="W24" s="12">
        <v>0.38273620940040159</v>
      </c>
      <c r="X24" s="12">
        <v>0.38365265048581265</v>
      </c>
      <c r="Y24" s="12">
        <v>0.38457128593967477</v>
      </c>
      <c r="Z24" s="12">
        <v>0.38549212101628438</v>
      </c>
      <c r="AA24" s="12">
        <v>0.38641516098251855</v>
      </c>
      <c r="AB24" s="12">
        <v>0.38734041111786593</v>
      </c>
      <c r="AC24" s="12">
        <v>0.38826787671445667</v>
      </c>
      <c r="AD24" s="12">
        <v>0.38919756307709236</v>
      </c>
      <c r="AE24" s="12">
        <v>0.39012947552327681</v>
      </c>
      <c r="AF24" s="12">
        <v>0.3910636193832463</v>
      </c>
      <c r="AG24" s="12">
        <v>0.39200000000000002</v>
      </c>
    </row>
    <row r="25" spans="1:33" x14ac:dyDescent="0.25">
      <c r="A25" s="112"/>
      <c r="B25" s="68" t="s">
        <v>23</v>
      </c>
      <c r="C25" s="48"/>
      <c r="D25" s="95">
        <f t="shared" si="5"/>
        <v>11.342931600000007</v>
      </c>
      <c r="E25" s="95">
        <f t="shared" si="1"/>
        <v>12.772692536896603</v>
      </c>
      <c r="F25" s="95">
        <f t="shared" si="1"/>
        <v>13.528501085517401</v>
      </c>
      <c r="G25" s="95">
        <f t="shared" si="1"/>
        <v>14.336327442504583</v>
      </c>
      <c r="H25" s="95">
        <f t="shared" si="1"/>
        <v>15.200218513613599</v>
      </c>
      <c r="I25" s="95">
        <f t="shared" si="1"/>
        <v>16.124571994412239</v>
      </c>
      <c r="J25" s="95">
        <f t="shared" si="1"/>
        <v>17.114169938577717</v>
      </c>
      <c r="K25" s="95">
        <f t="shared" si="1"/>
        <v>18.174215848488604</v>
      </c>
      <c r="L25" s="95">
        <f t="shared" si="1"/>
        <v>19.310375691035016</v>
      </c>
      <c r="M25" s="95">
        <f t="shared" si="1"/>
        <v>20.528823291541052</v>
      </c>
      <c r="N25" s="95">
        <f t="shared" si="1"/>
        <v>21.836290615346151</v>
      </c>
      <c r="O25" s="95">
        <f t="shared" si="1"/>
        <v>23.240123510884338</v>
      </c>
      <c r="P25" s="95">
        <f t="shared" si="1"/>
        <v>24.748343561136171</v>
      </c>
      <c r="Q25" s="95">
        <f t="shared" si="1"/>
        <v>26.369716773382596</v>
      </c>
      <c r="R25" s="81">
        <f t="shared" si="6"/>
        <v>6.2270817048846204E-2</v>
      </c>
      <c r="S25" s="68" t="s">
        <v>23</v>
      </c>
      <c r="T25" s="74">
        <v>0.34999999999999987</v>
      </c>
      <c r="U25" s="74">
        <v>0.34938588387166564</v>
      </c>
      <c r="V25" s="74">
        <v>0.34877284528224306</v>
      </c>
      <c r="W25" s="74">
        <v>0.34816088234106346</v>
      </c>
      <c r="X25" s="74">
        <v>0.34754999316077562</v>
      </c>
      <c r="Y25" s="74">
        <v>0.34694017585733994</v>
      </c>
      <c r="Z25" s="74">
        <v>0.34633142855002247</v>
      </c>
      <c r="AA25" s="74">
        <v>0.34572374936138933</v>
      </c>
      <c r="AB25" s="74">
        <v>0.34511713641730069</v>
      </c>
      <c r="AC25" s="74">
        <v>0.34451158784690528</v>
      </c>
      <c r="AD25" s="74">
        <v>0.34390710178263434</v>
      </c>
      <c r="AE25" s="74">
        <v>0.34330367636019604</v>
      </c>
      <c r="AF25" s="74">
        <v>0.34270130971856966</v>
      </c>
      <c r="AG25" s="74">
        <v>0.34209999999999979</v>
      </c>
    </row>
    <row r="26" spans="1:33" x14ac:dyDescent="0.25">
      <c r="A26" s="112"/>
      <c r="B26" s="68" t="s">
        <v>24</v>
      </c>
      <c r="C26" s="48"/>
      <c r="D26" s="95">
        <f t="shared" si="5"/>
        <v>9.07434528000001</v>
      </c>
      <c r="E26" s="95">
        <f t="shared" si="1"/>
        <v>10.271911222388052</v>
      </c>
      <c r="F26" s="95">
        <f t="shared" si="1"/>
        <v>10.936976836235903</v>
      </c>
      <c r="G26" s="95">
        <f t="shared" si="1"/>
        <v>11.651030401078113</v>
      </c>
      <c r="H26" s="95">
        <f t="shared" si="1"/>
        <v>12.418097553736168</v>
      </c>
      <c r="I26" s="95">
        <f t="shared" si="1"/>
        <v>13.242568981884755</v>
      </c>
      <c r="J26" s="95">
        <f t="shared" si="1"/>
        <v>14.129236694799307</v>
      </c>
      <c r="K26" s="95">
        <f t="shared" si="1"/>
        <v>15.083334221895122</v>
      </c>
      <c r="L26" s="95">
        <f t="shared" si="1"/>
        <v>16.110581200537936</v>
      </c>
      <c r="M26" s="95">
        <f t="shared" si="1"/>
        <v>17.217232873171309</v>
      </c>
      <c r="N26" s="95">
        <f t="shared" si="1"/>
        <v>18.410135080362924</v>
      </c>
      <c r="O26" s="95">
        <f t="shared" si="1"/>
        <v>19.696785412086982</v>
      </c>
      <c r="P26" s="95">
        <f t="shared" si="1"/>
        <v>21.085401265780455</v>
      </c>
      <c r="Q26" s="95">
        <f t="shared" si="1"/>
        <v>22.584995657997943</v>
      </c>
      <c r="R26" s="81">
        <f t="shared" si="6"/>
        <v>6.7859370235749963E-2</v>
      </c>
      <c r="S26" s="68" t="s">
        <v>24</v>
      </c>
      <c r="T26" s="74">
        <v>0.28000000000000003</v>
      </c>
      <c r="U26" s="74">
        <v>0.28097918830490543</v>
      </c>
      <c r="V26" s="74">
        <v>0.28196180093029821</v>
      </c>
      <c r="W26" s="74">
        <v>0.28294784985137333</v>
      </c>
      <c r="X26" s="74">
        <v>0.28393734708520407</v>
      </c>
      <c r="Y26" s="74">
        <v>0.28493030469088876</v>
      </c>
      <c r="Z26" s="74">
        <v>0.28592673476969749</v>
      </c>
      <c r="AA26" s="74">
        <v>0.28692664946521995</v>
      </c>
      <c r="AB26" s="74">
        <v>0.28793006096351298</v>
      </c>
      <c r="AC26" s="74">
        <v>0.28893698149324931</v>
      </c>
      <c r="AD26" s="74">
        <v>0.28994742332586665</v>
      </c>
      <c r="AE26" s="74">
        <v>0.29096139877571725</v>
      </c>
      <c r="AF26" s="74">
        <v>0.29197892020021765</v>
      </c>
      <c r="AG26" s="74">
        <v>0.29299999999999965</v>
      </c>
    </row>
    <row r="27" spans="1:33" x14ac:dyDescent="0.25">
      <c r="A27" s="112"/>
      <c r="B27" s="68" t="s">
        <v>25</v>
      </c>
      <c r="C27" s="48"/>
      <c r="D27" s="95">
        <f t="shared" si="5"/>
        <v>11.991099120000015</v>
      </c>
      <c r="E27" s="95">
        <f t="shared" si="1"/>
        <v>13.512948009430174</v>
      </c>
      <c r="F27" s="95">
        <f t="shared" si="1"/>
        <v>14.32338213003632</v>
      </c>
      <c r="G27" s="95">
        <f t="shared" si="1"/>
        <v>15.189948883427805</v>
      </c>
      <c r="H27" s="95">
        <f t="shared" si="1"/>
        <v>16.117027948559972</v>
      </c>
      <c r="I27" s="95">
        <f t="shared" si="1"/>
        <v>17.109378944078511</v>
      </c>
      <c r="J27" s="95">
        <f t="shared" si="1"/>
        <v>18.172177768619658</v>
      </c>
      <c r="K27" s="95">
        <f t="shared" si="1"/>
        <v>19.311056749539638</v>
      </c>
      <c r="L27" s="95">
        <f t="shared" si="1"/>
        <v>20.532149035006558</v>
      </c>
      <c r="M27" s="95">
        <f t="shared" si="1"/>
        <v>21.842137718228059</v>
      </c>
      <c r="N27" s="95">
        <f t="shared" si="1"/>
        <v>23.248310243613645</v>
      </c>
      <c r="O27" s="95">
        <f t="shared" si="1"/>
        <v>24.7586187139092</v>
      </c>
      <c r="P27" s="95">
        <f t="shared" si="1"/>
        <v>26.381746795977385</v>
      </c>
      <c r="Q27" s="95">
        <f t="shared" si="1"/>
        <v>28.127184012298539</v>
      </c>
      <c r="R27" s="81">
        <f t="shared" si="6"/>
        <v>6.2995303442727135E-2</v>
      </c>
      <c r="S27" s="68" t="s">
        <v>25</v>
      </c>
      <c r="T27" s="74">
        <f>1-SUM(T25:T26)</f>
        <v>0.37000000000000011</v>
      </c>
      <c r="U27" s="74">
        <f t="shared" ref="U27:AG27" si="7">1-SUM(U25:U26)</f>
        <v>0.36963492782342899</v>
      </c>
      <c r="V27" s="74">
        <f t="shared" si="7"/>
        <v>0.36926535378745873</v>
      </c>
      <c r="W27" s="74">
        <f t="shared" si="7"/>
        <v>0.36889126780756321</v>
      </c>
      <c r="X27" s="74">
        <f t="shared" si="7"/>
        <v>0.36851265975402026</v>
      </c>
      <c r="Y27" s="74">
        <f t="shared" si="7"/>
        <v>0.3681295194517713</v>
      </c>
      <c r="Z27" s="74">
        <f t="shared" si="7"/>
        <v>0.36774183668028004</v>
      </c>
      <c r="AA27" s="74">
        <f t="shared" si="7"/>
        <v>0.36734960117339077</v>
      </c>
      <c r="AB27" s="74">
        <f t="shared" si="7"/>
        <v>0.36695280261918639</v>
      </c>
      <c r="AC27" s="74">
        <f t="shared" si="7"/>
        <v>0.36655143065984541</v>
      </c>
      <c r="AD27" s="74">
        <f t="shared" si="7"/>
        <v>0.36614547489149896</v>
      </c>
      <c r="AE27" s="74">
        <f t="shared" si="7"/>
        <v>0.36573492486408665</v>
      </c>
      <c r="AF27" s="74">
        <f t="shared" si="7"/>
        <v>0.36531977008121275</v>
      </c>
      <c r="AG27" s="74">
        <f t="shared" si="7"/>
        <v>0.36490000000000056</v>
      </c>
    </row>
    <row r="28" spans="1:33" ht="15.75" thickBot="1" x14ac:dyDescent="0.3">
      <c r="A28" s="111"/>
      <c r="B28" s="69" t="s">
        <v>26</v>
      </c>
      <c r="C28" s="58"/>
      <c r="D28" s="96">
        <f t="shared" si="5"/>
        <v>31.555524000000027</v>
      </c>
      <c r="E28" s="96">
        <f t="shared" si="1"/>
        <v>35.273827254697991</v>
      </c>
      <c r="F28" s="96">
        <f t="shared" si="1"/>
        <v>37.085675009791693</v>
      </c>
      <c r="G28" s="96">
        <f t="shared" si="1"/>
        <v>39.007355377112702</v>
      </c>
      <c r="H28" s="96">
        <f t="shared" si="1"/>
        <v>41.046447017995881</v>
      </c>
      <c r="I28" s="96">
        <f t="shared" si="1"/>
        <v>43.211114404804377</v>
      </c>
      <c r="J28" s="96">
        <f t="shared" si="1"/>
        <v>45.510158065295364</v>
      </c>
      <c r="K28" s="96">
        <f t="shared" si="1"/>
        <v>47.953069575896791</v>
      </c>
      <c r="L28" s="96">
        <f t="shared" si="1"/>
        <v>50.550091795435748</v>
      </c>
      <c r="M28" s="96">
        <f t="shared" si="1"/>
        <v>53.312284886203983</v>
      </c>
      <c r="N28" s="96">
        <f t="shared" si="1"/>
        <v>56.251598731321053</v>
      </c>
      <c r="O28" s="96">
        <f t="shared" si="1"/>
        <v>59.38095242703487</v>
      </c>
      <c r="P28" s="96">
        <f t="shared" si="1"/>
        <v>62.714321606882145</v>
      </c>
      <c r="Q28" s="96">
        <f t="shared" si="1"/>
        <v>66.266834442652652</v>
      </c>
      <c r="R28" s="82">
        <f t="shared" si="6"/>
        <v>5.3950716512538369E-2</v>
      </c>
      <c r="S28" s="69" t="s">
        <v>26</v>
      </c>
      <c r="T28" s="12">
        <f>1-SUM(T23+T24)</f>
        <v>0.37</v>
      </c>
      <c r="U28" s="12">
        <f t="shared" ref="U28:AG28" si="8">1-SUM(U23+U24)</f>
        <v>0.36753417522645271</v>
      </c>
      <c r="V28" s="12">
        <f t="shared" si="8"/>
        <v>0.36505648803236646</v>
      </c>
      <c r="W28" s="12">
        <f t="shared" si="8"/>
        <v>0.36256687293191459</v>
      </c>
      <c r="X28" s="12">
        <f t="shared" si="8"/>
        <v>0.36006526405167993</v>
      </c>
      <c r="Y28" s="12">
        <f t="shared" si="8"/>
        <v>0.35755159512829038</v>
      </c>
      <c r="Z28" s="12">
        <f t="shared" si="8"/>
        <v>0.35502579950603996</v>
      </c>
      <c r="AA28" s="12">
        <f t="shared" si="8"/>
        <v>0.35248781013449515</v>
      </c>
      <c r="AB28" s="12">
        <f t="shared" si="8"/>
        <v>0.34993755956608608</v>
      </c>
      <c r="AC28" s="12">
        <f t="shared" si="8"/>
        <v>0.3473749799536836</v>
      </c>
      <c r="AD28" s="12">
        <f t="shared" si="8"/>
        <v>0.34480000304816039</v>
      </c>
      <c r="AE28" s="12">
        <f t="shared" si="8"/>
        <v>0.34221256019593804</v>
      </c>
      <c r="AF28" s="12">
        <f t="shared" si="8"/>
        <v>0.33961258233651859</v>
      </c>
      <c r="AG28" s="12">
        <f t="shared" si="8"/>
        <v>0.33699999999999986</v>
      </c>
    </row>
    <row r="29" spans="1:33" ht="15.75" thickBot="1" x14ac:dyDescent="0.3">
      <c r="A29" s="2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21"/>
    </row>
    <row r="30" spans="1:33" x14ac:dyDescent="0.25">
      <c r="A30" s="113" t="s">
        <v>27</v>
      </c>
      <c r="B30" s="61" t="s">
        <v>28</v>
      </c>
      <c r="C30" s="56"/>
      <c r="D30" s="91">
        <f>D55+D81</f>
        <v>34.199365200000031</v>
      </c>
      <c r="E30" s="91">
        <f t="shared" si="1"/>
        <v>38.644130086268625</v>
      </c>
      <c r="F30" s="91">
        <f t="shared" si="1"/>
        <v>41.073253342801067</v>
      </c>
      <c r="G30" s="91">
        <f t="shared" si="1"/>
        <v>43.677289626061423</v>
      </c>
      <c r="H30" s="91">
        <f t="shared" si="1"/>
        <v>46.470350256077325</v>
      </c>
      <c r="I30" s="91">
        <f t="shared" si="1"/>
        <v>49.467806805115728</v>
      </c>
      <c r="J30" s="91">
        <f t="shared" si="1"/>
        <v>52.686414725291755</v>
      </c>
      <c r="K30" s="91">
        <f t="shared" si="1"/>
        <v>56.144450220770644</v>
      </c>
      <c r="L30" s="91">
        <f t="shared" si="1"/>
        <v>59.861861906538067</v>
      </c>
      <c r="M30" s="91">
        <f t="shared" si="1"/>
        <v>63.860438989870417</v>
      </c>
      <c r="N30" s="91">
        <f t="shared" si="1"/>
        <v>68.163997931101875</v>
      </c>
      <c r="O30" s="91">
        <f t="shared" si="1"/>
        <v>72.798589790878481</v>
      </c>
      <c r="P30" s="91">
        <f t="shared" si="1"/>
        <v>77.792730756216386</v>
      </c>
      <c r="Q30" s="91">
        <f t="shared" si="1"/>
        <v>83.177658662439285</v>
      </c>
      <c r="R30" s="78">
        <f>RATE(12,,-E30,Q30)</f>
        <v>6.5966598055496969E-2</v>
      </c>
      <c r="S30" s="61" t="s">
        <v>28</v>
      </c>
      <c r="T30" s="12">
        <v>0.40099999999999997</v>
      </c>
      <c r="U30" s="12">
        <v>0.40265090533119946</v>
      </c>
      <c r="V30" s="12">
        <v>0.40430860739160734</v>
      </c>
      <c r="W30" s="12">
        <v>0.40597313416316017</v>
      </c>
      <c r="X30" s="12">
        <v>0.40764451374299493</v>
      </c>
      <c r="Y30" s="12">
        <v>0.40932277434392395</v>
      </c>
      <c r="Z30" s="12">
        <v>0.41100794429491083</v>
      </c>
      <c r="AA30" s="12">
        <v>0.4127000520415488</v>
      </c>
      <c r="AB30" s="12">
        <v>0.41439912614654062</v>
      </c>
      <c r="AC30" s="12">
        <v>0.41610519529018092</v>
      </c>
      <c r="AD30" s="12">
        <v>0.41781828827084017</v>
      </c>
      <c r="AE30" s="12">
        <v>0.4195384340054511</v>
      </c>
      <c r="AF30" s="12">
        <v>0.4212656615299965</v>
      </c>
      <c r="AG30" s="12">
        <v>0.42299999999999938</v>
      </c>
    </row>
    <row r="31" spans="1:33" x14ac:dyDescent="0.25">
      <c r="A31" s="114"/>
      <c r="B31" s="62" t="s">
        <v>29</v>
      </c>
      <c r="C31" s="47"/>
      <c r="D31" s="97">
        <f>D56+D82</f>
        <v>36.757921200000034</v>
      </c>
      <c r="E31" s="97">
        <f t="shared" si="1"/>
        <v>41.445181765514945</v>
      </c>
      <c r="F31" s="97">
        <f t="shared" si="1"/>
        <v>43.954893582491202</v>
      </c>
      <c r="G31" s="97">
        <f t="shared" si="1"/>
        <v>46.640309673605259</v>
      </c>
      <c r="H31" s="97">
        <f t="shared" si="1"/>
        <v>49.51528764416436</v>
      </c>
      <c r="I31" s="97">
        <f t="shared" si="1"/>
        <v>52.594899812749205</v>
      </c>
      <c r="J31" s="97">
        <f t="shared" si="1"/>
        <v>55.895550534879547</v>
      </c>
      <c r="K31" s="97">
        <f t="shared" si="1"/>
        <v>59.435105933214899</v>
      </c>
      <c r="L31" s="97">
        <f t="shared" si="1"/>
        <v>63.233037462840137</v>
      </c>
      <c r="M31" s="97">
        <f t="shared" si="1"/>
        <v>67.310580918358141</v>
      </c>
      <c r="N31" s="97">
        <f t="shared" si="1"/>
        <v>71.690912691627005</v>
      </c>
      <c r="O31" s="97">
        <f t="shared" si="1"/>
        <v>76.399345318485473</v>
      </c>
      <c r="P31" s="97">
        <f t="shared" si="1"/>
        <v>81.463544613683254</v>
      </c>
      <c r="Q31" s="97">
        <f t="shared" si="1"/>
        <v>86.91377099006678</v>
      </c>
      <c r="R31" s="83">
        <f>RATE(12,,-E31,Q31)</f>
        <v>6.365604360000679E-2</v>
      </c>
      <c r="S31" s="62" t="s">
        <v>29</v>
      </c>
      <c r="T31" s="12">
        <v>0.43099999999999999</v>
      </c>
      <c r="U31" s="12">
        <v>0.43183634674261745</v>
      </c>
      <c r="V31" s="12">
        <v>0.43267431639909548</v>
      </c>
      <c r="W31" s="12">
        <v>0.43351391211866536</v>
      </c>
      <c r="X31" s="12">
        <v>0.43435513705666956</v>
      </c>
      <c r="Y31" s="12">
        <v>0.43519799437457324</v>
      </c>
      <c r="Z31" s="12">
        <v>0.43604248723997657</v>
      </c>
      <c r="AA31" s="12">
        <v>0.43688861882662616</v>
      </c>
      <c r="AB31" s="12">
        <v>0.43773639231442729</v>
      </c>
      <c r="AC31" s="12">
        <v>0.43858581088945586</v>
      </c>
      <c r="AD31" s="12">
        <v>0.43943687774397006</v>
      </c>
      <c r="AE31" s="12">
        <v>0.44028959607642287</v>
      </c>
      <c r="AF31" s="12">
        <v>0.44114396909147369</v>
      </c>
      <c r="AG31" s="12">
        <v>0.44200000000000028</v>
      </c>
    </row>
    <row r="32" spans="1:33" ht="15.75" thickBot="1" x14ac:dyDescent="0.3">
      <c r="A32" s="115"/>
      <c r="B32" s="63" t="s">
        <v>30</v>
      </c>
      <c r="C32" s="51"/>
      <c r="D32" s="92">
        <f>D57+D83</f>
        <v>14.327913600000018</v>
      </c>
      <c r="E32" s="92">
        <f t="shared" si="1"/>
        <v>15.884966548216536</v>
      </c>
      <c r="F32" s="92">
        <f t="shared" si="1"/>
        <v>16.560720073569623</v>
      </c>
      <c r="G32" s="92">
        <f t="shared" si="1"/>
        <v>17.269051024114503</v>
      </c>
      <c r="H32" s="92">
        <f t="shared" si="1"/>
        <v>18.011604033388732</v>
      </c>
      <c r="I32" s="92">
        <f t="shared" si="1"/>
        <v>18.790101742003046</v>
      </c>
      <c r="J32" s="92">
        <f t="shared" si="1"/>
        <v>19.606347050131959</v>
      </c>
      <c r="K32" s="92">
        <f t="shared" si="1"/>
        <v>20.462225142223915</v>
      </c>
      <c r="L32" s="92">
        <f t="shared" si="1"/>
        <v>21.359705212412351</v>
      </c>
      <c r="M32" s="92">
        <f t="shared" si="1"/>
        <v>22.300841805335988</v>
      </c>
      <c r="N32" s="92">
        <f t="shared" si="1"/>
        <v>23.287775670878943</v>
      </c>
      <c r="O32" s="92">
        <f t="shared" si="1"/>
        <v>24.32273401229417</v>
      </c>
      <c r="P32" s="92">
        <f t="shared" si="1"/>
        <v>25.408029984780001</v>
      </c>
      <c r="Q32" s="92">
        <f t="shared" si="1"/>
        <v>26.546061275246686</v>
      </c>
      <c r="R32" s="79">
        <f>RATE(12,,-E32,Q32)</f>
        <v>4.3721145706356108E-2</v>
      </c>
      <c r="S32" s="63" t="s">
        <v>30</v>
      </c>
      <c r="T32" s="12">
        <f>1-SUM(T30:T31)</f>
        <v>0.16800000000000004</v>
      </c>
      <c r="U32" s="12">
        <f t="shared" ref="U32:AG32" si="9">1-SUM(U30:U31)</f>
        <v>0.16551274792618309</v>
      </c>
      <c r="V32" s="12">
        <f t="shared" si="9"/>
        <v>0.16301707620929717</v>
      </c>
      <c r="W32" s="12">
        <f t="shared" si="9"/>
        <v>0.16051295371817442</v>
      </c>
      <c r="X32" s="12">
        <f t="shared" si="9"/>
        <v>0.15800034920033545</v>
      </c>
      <c r="Y32" s="12">
        <f t="shared" si="9"/>
        <v>0.15547923128150276</v>
      </c>
      <c r="Z32" s="12">
        <f t="shared" si="9"/>
        <v>0.15294956846511254</v>
      </c>
      <c r="AA32" s="12">
        <f t="shared" si="9"/>
        <v>0.15041132913182498</v>
      </c>
      <c r="AB32" s="12">
        <f t="shared" si="9"/>
        <v>0.14786448153903209</v>
      </c>
      <c r="AC32" s="12">
        <f t="shared" si="9"/>
        <v>0.14530899382036322</v>
      </c>
      <c r="AD32" s="12">
        <f t="shared" si="9"/>
        <v>0.14274483398518978</v>
      </c>
      <c r="AE32" s="12">
        <f t="shared" si="9"/>
        <v>0.14017196991812608</v>
      </c>
      <c r="AF32" s="12">
        <f t="shared" si="9"/>
        <v>0.13759036937852986</v>
      </c>
      <c r="AG32" s="12">
        <f t="shared" si="9"/>
        <v>0.13500000000000034</v>
      </c>
    </row>
    <row r="35" spans="1:33" ht="26.25" x14ac:dyDescent="0.4">
      <c r="A35" s="109" t="s">
        <v>76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70"/>
    </row>
    <row r="36" spans="1:33" ht="24" thickBot="1" x14ac:dyDescent="0.4">
      <c r="A36" s="70"/>
      <c r="B36" s="70"/>
      <c r="C36" s="7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spans="1:33" ht="15.75" x14ac:dyDescent="0.25">
      <c r="A37" s="49"/>
      <c r="B37" s="50"/>
      <c r="C37" s="100"/>
      <c r="D37" s="98">
        <v>2023</v>
      </c>
      <c r="E37" s="72">
        <v>2024</v>
      </c>
      <c r="F37" s="72">
        <v>2025</v>
      </c>
      <c r="G37" s="72">
        <v>2026</v>
      </c>
      <c r="H37" s="72">
        <v>2027</v>
      </c>
      <c r="I37" s="72">
        <v>2028</v>
      </c>
      <c r="J37" s="72">
        <v>2029</v>
      </c>
      <c r="K37" s="72">
        <v>2030</v>
      </c>
      <c r="L37" s="72">
        <v>2031</v>
      </c>
      <c r="M37" s="72">
        <v>2032</v>
      </c>
      <c r="N37" s="72">
        <v>2033</v>
      </c>
      <c r="O37" s="72">
        <v>2034</v>
      </c>
      <c r="P37" s="72">
        <v>2035</v>
      </c>
      <c r="Q37" s="72">
        <v>2036</v>
      </c>
      <c r="R37" s="73" t="s">
        <v>13</v>
      </c>
    </row>
    <row r="38" spans="1:33" ht="16.5" thickBot="1" x14ac:dyDescent="0.3">
      <c r="A38" s="26"/>
      <c r="B38" s="101"/>
      <c r="C38" s="102"/>
      <c r="D38" s="99">
        <f>'Market Analysis'!C58</f>
        <v>56.856800000000057</v>
      </c>
      <c r="E38" s="99">
        <f>'Market Analysis'!D58</f>
        <v>64.361897600000077</v>
      </c>
      <c r="F38" s="99">
        <f>'Market Analysis'!E58</f>
        <v>67.991942674367252</v>
      </c>
      <c r="G38" s="99">
        <f>'Market Analysis'!F58</f>
        <v>71.854151735463361</v>
      </c>
      <c r="H38" s="99">
        <f>'Market Analysis'!G58</f>
        <v>75.964942250107455</v>
      </c>
      <c r="I38" s="99">
        <f>'Market Analysis'!H58</f>
        <v>80.341995616430324</v>
      </c>
      <c r="J38" s="99">
        <f>'Market Analysis'!I58</f>
        <v>85.004361963005394</v>
      </c>
      <c r="K38" s="99">
        <f>'Market Analysis'!J58</f>
        <v>89.972574231432716</v>
      </c>
      <c r="L38" s="99">
        <f>'Market Analysis'!K58</f>
        <v>95.268772415445781</v>
      </c>
      <c r="M38" s="99">
        <f>'Market Analysis'!L58</f>
        <v>100.91683891634162</v>
      </c>
      <c r="N38" s="99">
        <f>'Market Analysis'!M58</f>
        <v>106.94254607032944</v>
      </c>
      <c r="O38" s="99">
        <f>'Market Analysis'!N58</f>
        <v>113.37371700924299</v>
      </c>
      <c r="P38" s="99">
        <f>'Market Analysis'!O58</f>
        <v>120.24040113307396</v>
      </c>
      <c r="Q38" s="99">
        <f>'Market Analysis'!P58</f>
        <v>127.57506560219149</v>
      </c>
      <c r="R38" s="75">
        <f>RATE(12,,-E38,Q38)</f>
        <v>5.8671966959169333E-2</v>
      </c>
      <c r="T38" s="72">
        <v>2023</v>
      </c>
      <c r="U38" s="72">
        <v>2024</v>
      </c>
      <c r="V38" s="72">
        <v>2025</v>
      </c>
      <c r="W38" s="72">
        <v>2026</v>
      </c>
      <c r="X38" s="72">
        <v>2027</v>
      </c>
      <c r="Y38" s="72">
        <v>2028</v>
      </c>
      <c r="Z38" s="72">
        <v>2029</v>
      </c>
      <c r="AA38" s="72">
        <v>2030</v>
      </c>
      <c r="AB38" s="72">
        <v>2031</v>
      </c>
      <c r="AC38" s="72">
        <v>2032</v>
      </c>
      <c r="AD38" s="72">
        <v>2033</v>
      </c>
      <c r="AE38" s="72">
        <v>2034</v>
      </c>
      <c r="AF38" s="72">
        <v>2035</v>
      </c>
      <c r="AG38" s="72">
        <v>2036</v>
      </c>
    </row>
    <row r="39" spans="1:33" x14ac:dyDescent="0.25">
      <c r="A39" s="110" t="s">
        <v>51</v>
      </c>
      <c r="B39" s="59" t="s">
        <v>34</v>
      </c>
      <c r="C39" s="52"/>
      <c r="D39" s="86">
        <f>D38*T39</f>
        <v>31.839808000000033</v>
      </c>
      <c r="E39" s="86">
        <f t="shared" ref="E39:Q39" si="10">E38*U39</f>
        <v>36.101979461108421</v>
      </c>
      <c r="F39" s="86">
        <f t="shared" si="10"/>
        <v>38.200915632019814</v>
      </c>
      <c r="G39" s="86">
        <f t="shared" si="10"/>
        <v>40.437317409378473</v>
      </c>
      <c r="H39" s="86">
        <f t="shared" si="10"/>
        <v>42.821101050122905</v>
      </c>
      <c r="I39" s="86">
        <f t="shared" si="10"/>
        <v>45.362959537722922</v>
      </c>
      <c r="J39" s="86">
        <f t="shared" si="10"/>
        <v>48.074427980506499</v>
      </c>
      <c r="K39" s="86">
        <f t="shared" si="10"/>
        <v>50.967954883991318</v>
      </c>
      <c r="L39" s="86">
        <f t="shared" si="10"/>
        <v>54.056979856683412</v>
      </c>
      <c r="M39" s="86">
        <f t="shared" si="10"/>
        <v>57.356018365033819</v>
      </c>
      <c r="N39" s="86">
        <f t="shared" si="10"/>
        <v>60.880754215415195</v>
      </c>
      <c r="O39" s="86">
        <f t="shared" si="10"/>
        <v>64.648140509746909</v>
      </c>
      <c r="P39" s="86">
        <f t="shared" si="10"/>
        <v>68.676509897494228</v>
      </c>
      <c r="Q39" s="86">
        <f t="shared" si="10"/>
        <v>72.985695031013634</v>
      </c>
      <c r="R39" s="84">
        <f>RATE(12,,-E39,Q39)</f>
        <v>6.0414264395326094E-2</v>
      </c>
      <c r="S39" s="59" t="s">
        <v>34</v>
      </c>
      <c r="T39" s="12">
        <v>0.56000000000000005</v>
      </c>
      <c r="U39" s="12">
        <v>0.56092161367703952</v>
      </c>
      <c r="V39" s="12">
        <v>0.56184474408938223</v>
      </c>
      <c r="W39" s="12">
        <v>0.56276939373317769</v>
      </c>
      <c r="X39" s="12">
        <v>0.56369556510868446</v>
      </c>
      <c r="Y39" s="12">
        <v>0.56462326072027491</v>
      </c>
      <c r="Z39" s="12">
        <v>0.56555248307644368</v>
      </c>
      <c r="AA39" s="12">
        <v>0.56648323468981299</v>
      </c>
      <c r="AB39" s="12">
        <v>0.56741551807714108</v>
      </c>
      <c r="AC39" s="12">
        <v>0.56834933575932756</v>
      </c>
      <c r="AD39" s="12">
        <v>0.56928469026142059</v>
      </c>
      <c r="AE39" s="12">
        <v>0.57022158411262425</v>
      </c>
      <c r="AF39" s="12">
        <v>0.57116001984630527</v>
      </c>
      <c r="AG39" s="12">
        <v>0.57209999999999905</v>
      </c>
    </row>
    <row r="40" spans="1:33" ht="15.75" thickBot="1" x14ac:dyDescent="0.3">
      <c r="A40" s="111"/>
      <c r="B40" s="60" t="s">
        <v>35</v>
      </c>
      <c r="C40" s="53"/>
      <c r="D40" s="87">
        <f>D38*T40</f>
        <v>25.016992000000023</v>
      </c>
      <c r="E40" s="87">
        <f t="shared" ref="E40:Q40" si="11">E38*U40</f>
        <v>28.259918138891656</v>
      </c>
      <c r="F40" s="87">
        <f t="shared" si="11"/>
        <v>29.791027042347437</v>
      </c>
      <c r="G40" s="87">
        <f t="shared" si="11"/>
        <v>31.416834326084889</v>
      </c>
      <c r="H40" s="87">
        <f t="shared" si="11"/>
        <v>33.14384119998455</v>
      </c>
      <c r="I40" s="87">
        <f t="shared" si="11"/>
        <v>34.979036078707402</v>
      </c>
      <c r="J40" s="87">
        <f t="shared" si="11"/>
        <v>36.929933982498895</v>
      </c>
      <c r="K40" s="87">
        <f t="shared" si="11"/>
        <v>39.004619347441398</v>
      </c>
      <c r="L40" s="87">
        <f t="shared" si="11"/>
        <v>41.211792558762369</v>
      </c>
      <c r="M40" s="87">
        <f t="shared" si="11"/>
        <v>43.560820551307799</v>
      </c>
      <c r="N40" s="87">
        <f t="shared" si="11"/>
        <v>46.061791854914247</v>
      </c>
      <c r="O40" s="87">
        <f t="shared" si="11"/>
        <v>48.725576499496086</v>
      </c>
      <c r="P40" s="87">
        <f t="shared" si="11"/>
        <v>51.563891235579732</v>
      </c>
      <c r="Q40" s="87">
        <f t="shared" si="11"/>
        <v>54.589370571177859</v>
      </c>
      <c r="R40" s="85">
        <f>RATE(12,,-E40,Q40)</f>
        <v>5.6399285854980746E-2</v>
      </c>
      <c r="S40" s="60" t="s">
        <v>35</v>
      </c>
      <c r="T40" s="12">
        <f>1-T39</f>
        <v>0.43999999999999995</v>
      </c>
      <c r="U40" s="12">
        <f t="shared" ref="U40:AG40" si="12">1-U39</f>
        <v>0.43907838632296048</v>
      </c>
      <c r="V40" s="12">
        <f t="shared" si="12"/>
        <v>0.43815525591061777</v>
      </c>
      <c r="W40" s="12">
        <f t="shared" si="12"/>
        <v>0.43723060626682231</v>
      </c>
      <c r="X40" s="12">
        <f t="shared" si="12"/>
        <v>0.43630443489131554</v>
      </c>
      <c r="Y40" s="12">
        <f t="shared" si="12"/>
        <v>0.43537673927972509</v>
      </c>
      <c r="Z40" s="12">
        <f t="shared" si="12"/>
        <v>0.43444751692355632</v>
      </c>
      <c r="AA40" s="12">
        <f t="shared" si="12"/>
        <v>0.43351676531018701</v>
      </c>
      <c r="AB40" s="12">
        <f t="shared" si="12"/>
        <v>0.43258448192285892</v>
      </c>
      <c r="AC40" s="12">
        <f t="shared" si="12"/>
        <v>0.43165066424067244</v>
      </c>
      <c r="AD40" s="12">
        <f t="shared" si="12"/>
        <v>0.43071530973857941</v>
      </c>
      <c r="AE40" s="12">
        <f t="shared" si="12"/>
        <v>0.42977841588737575</v>
      </c>
      <c r="AF40" s="12">
        <f t="shared" si="12"/>
        <v>0.42883998015369473</v>
      </c>
      <c r="AG40" s="12">
        <f t="shared" si="12"/>
        <v>0.42790000000000095</v>
      </c>
    </row>
    <row r="41" spans="1:33" ht="15.75" thickBot="1" x14ac:dyDescent="0.3">
      <c r="A41" s="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21"/>
    </row>
    <row r="42" spans="1:33" x14ac:dyDescent="0.25">
      <c r="A42" s="110" t="s">
        <v>15</v>
      </c>
      <c r="B42" s="64" t="s">
        <v>16</v>
      </c>
      <c r="C42" s="54"/>
      <c r="D42" s="89">
        <f>D38*T42</f>
        <v>26.779552800000022</v>
      </c>
      <c r="E42" s="89">
        <f t="shared" ref="E42:Q42" si="13">E38*U42</f>
        <v>30.274846448000034</v>
      </c>
      <c r="F42" s="89">
        <f t="shared" si="13"/>
        <v>31.940522608643136</v>
      </c>
      <c r="G42" s="89">
        <f t="shared" si="13"/>
        <v>33.710651648814689</v>
      </c>
      <c r="H42" s="89">
        <f t="shared" si="13"/>
        <v>35.592497172723419</v>
      </c>
      <c r="I42" s="89">
        <f t="shared" si="13"/>
        <v>37.593873794980432</v>
      </c>
      <c r="J42" s="89">
        <f t="shared" si="13"/>
        <v>39.723192225019822</v>
      </c>
      <c r="K42" s="89">
        <f t="shared" si="13"/>
        <v>41.989508297084782</v>
      </c>
      <c r="L42" s="89">
        <f t="shared" si="13"/>
        <v>44.402576312706614</v>
      </c>
      <c r="M42" s="89">
        <f t="shared" si="13"/>
        <v>46.97290709867562</v>
      </c>
      <c r="N42" s="89">
        <f t="shared" si="13"/>
        <v>49.711831223307748</v>
      </c>
      <c r="O42" s="89">
        <f t="shared" si="13"/>
        <v>52.631567857752422</v>
      </c>
      <c r="P42" s="89">
        <f t="shared" si="13"/>
        <v>55.745299817618211</v>
      </c>
      <c r="Q42" s="89">
        <f t="shared" si="13"/>
        <v>59.067255373814653</v>
      </c>
      <c r="R42" s="76">
        <f>RATE(12,,-E42,Q42)</f>
        <v>5.7276883593847853E-2</v>
      </c>
      <c r="S42" s="64" t="s">
        <v>16</v>
      </c>
      <c r="T42" s="12">
        <v>0.47099999999999992</v>
      </c>
      <c r="U42" s="12">
        <v>0.47038461538461535</v>
      </c>
      <c r="V42" s="12">
        <v>0.46976923076923072</v>
      </c>
      <c r="W42" s="12">
        <v>0.46915384615384609</v>
      </c>
      <c r="X42" s="12">
        <v>0.46853846153846151</v>
      </c>
      <c r="Y42" s="12">
        <v>0.46792307692307689</v>
      </c>
      <c r="Z42" s="12">
        <v>0.46730769230769226</v>
      </c>
      <c r="AA42" s="12">
        <v>0.46669230769230763</v>
      </c>
      <c r="AB42" s="12">
        <v>0.46607692307692306</v>
      </c>
      <c r="AC42" s="12">
        <v>0.46546153846153843</v>
      </c>
      <c r="AD42" s="12">
        <v>0.4648461538461538</v>
      </c>
      <c r="AE42" s="12">
        <v>0.46423076923076922</v>
      </c>
      <c r="AF42" s="12">
        <v>0.4636153846153846</v>
      </c>
      <c r="AG42" s="12">
        <v>0.46299999999999997</v>
      </c>
    </row>
    <row r="43" spans="1:33" ht="15.75" thickBot="1" x14ac:dyDescent="0.3">
      <c r="A43" s="111"/>
      <c r="B43" s="65" t="s">
        <v>17</v>
      </c>
      <c r="C43" s="55"/>
      <c r="D43" s="90">
        <f>D38*T43</f>
        <v>30.077247200000038</v>
      </c>
      <c r="E43" s="90">
        <f t="shared" ref="E43:Q43" si="14">E38*U43</f>
        <v>34.087051152000036</v>
      </c>
      <c r="F43" s="90">
        <f t="shared" si="14"/>
        <v>36.051420065724116</v>
      </c>
      <c r="G43" s="90">
        <f t="shared" si="14"/>
        <v>38.143500086648672</v>
      </c>
      <c r="H43" s="90">
        <f t="shared" si="14"/>
        <v>40.372445077384029</v>
      </c>
      <c r="I43" s="90">
        <f t="shared" si="14"/>
        <v>42.748121821449892</v>
      </c>
      <c r="J43" s="90">
        <f t="shared" si="14"/>
        <v>45.281169737985572</v>
      </c>
      <c r="K43" s="90">
        <f t="shared" si="14"/>
        <v>47.983065934347934</v>
      </c>
      <c r="L43" s="90">
        <f t="shared" si="14"/>
        <v>50.866196102739167</v>
      </c>
      <c r="M43" s="90">
        <f t="shared" si="14"/>
        <v>53.943931817666005</v>
      </c>
      <c r="N43" s="90">
        <f t="shared" si="14"/>
        <v>57.230714847021694</v>
      </c>
      <c r="O43" s="90">
        <f t="shared" si="14"/>
        <v>60.742149151490572</v>
      </c>
      <c r="P43" s="90">
        <f t="shared" si="14"/>
        <v>64.495101315455756</v>
      </c>
      <c r="Q43" s="90">
        <f t="shared" si="14"/>
        <v>68.507810228376826</v>
      </c>
      <c r="R43" s="77">
        <f>RATE(12,,-E43,Q43)</f>
        <v>5.9894294885266035E-2</v>
      </c>
      <c r="S43" s="65" t="s">
        <v>17</v>
      </c>
      <c r="T43" s="12">
        <f>1-T42</f>
        <v>0.52900000000000014</v>
      </c>
      <c r="U43" s="12">
        <f t="shared" ref="U43:AG43" si="15">1-U42</f>
        <v>0.5296153846153846</v>
      </c>
      <c r="V43" s="12">
        <f t="shared" si="15"/>
        <v>0.53023076923076928</v>
      </c>
      <c r="W43" s="12">
        <f t="shared" si="15"/>
        <v>0.53084615384615397</v>
      </c>
      <c r="X43" s="12">
        <f t="shared" si="15"/>
        <v>0.53146153846153843</v>
      </c>
      <c r="Y43" s="12">
        <f t="shared" si="15"/>
        <v>0.53207692307692311</v>
      </c>
      <c r="Z43" s="12">
        <f t="shared" si="15"/>
        <v>0.5326923076923078</v>
      </c>
      <c r="AA43" s="12">
        <f t="shared" si="15"/>
        <v>0.53330769230769237</v>
      </c>
      <c r="AB43" s="12">
        <f t="shared" si="15"/>
        <v>0.53392307692307694</v>
      </c>
      <c r="AC43" s="12">
        <f t="shared" si="15"/>
        <v>0.53453846153846163</v>
      </c>
      <c r="AD43" s="12">
        <f t="shared" si="15"/>
        <v>0.5351538461538462</v>
      </c>
      <c r="AE43" s="12">
        <f t="shared" si="15"/>
        <v>0.53576923076923078</v>
      </c>
      <c r="AF43" s="12">
        <f t="shared" si="15"/>
        <v>0.53638461538461546</v>
      </c>
      <c r="AG43" s="12">
        <f t="shared" si="15"/>
        <v>0.53700000000000003</v>
      </c>
    </row>
    <row r="44" spans="1:33" ht="15.75" thickBot="1" x14ac:dyDescent="0.3">
      <c r="A44" s="1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21"/>
    </row>
    <row r="45" spans="1:33" x14ac:dyDescent="0.25">
      <c r="A45" s="110" t="s">
        <v>18</v>
      </c>
      <c r="B45" s="61" t="s">
        <v>19</v>
      </c>
      <c r="C45" s="56"/>
      <c r="D45" s="91">
        <f>D38*T45</f>
        <v>22.799576800000022</v>
      </c>
      <c r="E45" s="91">
        <f t="shared" ref="E45:Q45" si="16">E38*U45</f>
        <v>25.915376337473983</v>
      </c>
      <c r="F45" s="91">
        <f t="shared" si="16"/>
        <v>27.489727656523421</v>
      </c>
      <c r="G45" s="91">
        <f t="shared" si="16"/>
        <v>29.170855182681336</v>
      </c>
      <c r="H45" s="91">
        <f t="shared" si="16"/>
        <v>30.966691945059743</v>
      </c>
      <c r="I45" s="91">
        <f t="shared" si="16"/>
        <v>32.885808542044636</v>
      </c>
      <c r="J45" s="91">
        <f t="shared" si="16"/>
        <v>34.937468066515358</v>
      </c>
      <c r="K45" s="91">
        <f t="shared" si="16"/>
        <v>37.131686067624393</v>
      </c>
      <c r="L45" s="91">
        <f t="shared" si="16"/>
        <v>39.479296038014382</v>
      </c>
      <c r="M45" s="91">
        <f t="shared" si="16"/>
        <v>41.992020965352062</v>
      </c>
      <c r="N45" s="91">
        <f t="shared" si="16"/>
        <v>44.68255154243051</v>
      </c>
      <c r="O45" s="91">
        <f t="shared" si="16"/>
        <v>47.564631691434982</v>
      </c>
      <c r="P45" s="91">
        <f t="shared" si="16"/>
        <v>50.653152125956545</v>
      </c>
      <c r="Q45" s="91">
        <f t="shared" si="16"/>
        <v>53.964252749726917</v>
      </c>
      <c r="R45" s="78">
        <f>RATE(12,,-E45,Q45)</f>
        <v>6.3030488640576365E-2</v>
      </c>
      <c r="S45" s="61" t="s">
        <v>19</v>
      </c>
      <c r="T45" s="12">
        <v>0.40099999999999997</v>
      </c>
      <c r="U45" s="12">
        <v>0.40265090533119946</v>
      </c>
      <c r="V45" s="12">
        <v>0.40430860739160734</v>
      </c>
      <c r="W45" s="12">
        <v>0.40597313416316017</v>
      </c>
      <c r="X45" s="12">
        <v>0.40764451374299493</v>
      </c>
      <c r="Y45" s="12">
        <v>0.40932277434392395</v>
      </c>
      <c r="Z45" s="12">
        <v>0.41100794429491083</v>
      </c>
      <c r="AA45" s="12">
        <v>0.4127000520415488</v>
      </c>
      <c r="AB45" s="12">
        <v>0.41439912614654062</v>
      </c>
      <c r="AC45" s="12">
        <v>0.41610519529018092</v>
      </c>
      <c r="AD45" s="12">
        <v>0.41781828827084017</v>
      </c>
      <c r="AE45" s="12">
        <v>0.4195384340054511</v>
      </c>
      <c r="AF45" s="12">
        <v>0.4212656615299965</v>
      </c>
      <c r="AG45" s="12">
        <v>0.42299999999999938</v>
      </c>
    </row>
    <row r="46" spans="1:33" ht="15.75" thickBot="1" x14ac:dyDescent="0.3">
      <c r="A46" s="111"/>
      <c r="B46" s="63" t="s">
        <v>20</v>
      </c>
      <c r="C46" s="51"/>
      <c r="D46" s="92">
        <f>D38*T46</f>
        <v>34.057223200000031</v>
      </c>
      <c r="E46" s="92">
        <f t="shared" ref="E46:Q46" si="17">E38*U46</f>
        <v>38.44652126252609</v>
      </c>
      <c r="F46" s="92">
        <f t="shared" si="17"/>
        <v>40.502215017843831</v>
      </c>
      <c r="G46" s="92">
        <f t="shared" si="17"/>
        <v>42.683296552782025</v>
      </c>
      <c r="H46" s="92">
        <f t="shared" si="17"/>
        <v>44.998250305047712</v>
      </c>
      <c r="I46" s="92">
        <f t="shared" si="17"/>
        <v>47.456187074385689</v>
      </c>
      <c r="J46" s="92">
        <f t="shared" si="17"/>
        <v>50.066893896490036</v>
      </c>
      <c r="K46" s="92">
        <f t="shared" si="17"/>
        <v>52.840888163808323</v>
      </c>
      <c r="L46" s="92">
        <f t="shared" si="17"/>
        <v>55.789476377431399</v>
      </c>
      <c r="M46" s="92">
        <f t="shared" si="17"/>
        <v>58.924817950989564</v>
      </c>
      <c r="N46" s="92">
        <f t="shared" si="17"/>
        <v>62.259994527898932</v>
      </c>
      <c r="O46" s="92">
        <f t="shared" si="17"/>
        <v>65.809085317808012</v>
      </c>
      <c r="P46" s="92">
        <f t="shared" si="17"/>
        <v>69.587249007117407</v>
      </c>
      <c r="Q46" s="92">
        <f t="shared" si="17"/>
        <v>73.610812852464562</v>
      </c>
      <c r="R46" s="79">
        <f>RATE(12,,-E46,Q46)</f>
        <v>5.5618631802988386E-2</v>
      </c>
      <c r="S46" s="63" t="s">
        <v>20</v>
      </c>
      <c r="T46" s="12">
        <f>1-T45</f>
        <v>0.59899999999999998</v>
      </c>
      <c r="U46" s="12">
        <f t="shared" ref="U46:AG46" si="18">1-U45</f>
        <v>0.59734909466880048</v>
      </c>
      <c r="V46" s="12">
        <f t="shared" si="18"/>
        <v>0.59569139260839266</v>
      </c>
      <c r="W46" s="12">
        <f t="shared" si="18"/>
        <v>0.59402686583683983</v>
      </c>
      <c r="X46" s="12">
        <f t="shared" si="18"/>
        <v>0.59235548625700507</v>
      </c>
      <c r="Y46" s="12">
        <f t="shared" si="18"/>
        <v>0.59067722565607605</v>
      </c>
      <c r="Z46" s="12">
        <f t="shared" si="18"/>
        <v>0.58899205570508917</v>
      </c>
      <c r="AA46" s="12">
        <f t="shared" si="18"/>
        <v>0.5872999479584512</v>
      </c>
      <c r="AB46" s="12">
        <f t="shared" si="18"/>
        <v>0.58560087385345938</v>
      </c>
      <c r="AC46" s="12">
        <f t="shared" si="18"/>
        <v>0.58389480470981914</v>
      </c>
      <c r="AD46" s="12">
        <f t="shared" si="18"/>
        <v>0.58218171172915989</v>
      </c>
      <c r="AE46" s="12">
        <f t="shared" si="18"/>
        <v>0.5804615659945489</v>
      </c>
      <c r="AF46" s="12">
        <f t="shared" si="18"/>
        <v>0.57873433847000344</v>
      </c>
      <c r="AG46" s="12">
        <f t="shared" si="18"/>
        <v>0.57700000000000062</v>
      </c>
    </row>
    <row r="47" spans="1:33" ht="15.75" thickBot="1" x14ac:dyDescent="0.3">
      <c r="A47" s="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21"/>
    </row>
    <row r="48" spans="1:33" x14ac:dyDescent="0.25">
      <c r="A48" s="110" t="s">
        <v>14</v>
      </c>
      <c r="B48" s="66" t="s">
        <v>21</v>
      </c>
      <c r="C48" s="57"/>
      <c r="D48" s="93">
        <f>D38*T48</f>
        <v>14.214200000000014</v>
      </c>
      <c r="E48" s="93">
        <f t="shared" ref="E48:Q48" si="19">E38*U48</f>
        <v>16.19061735444124</v>
      </c>
      <c r="F48" s="93">
        <f t="shared" si="19"/>
        <v>17.210226224974228</v>
      </c>
      <c r="G48" s="93">
        <f t="shared" si="19"/>
        <v>18.301030968648572</v>
      </c>
      <c r="H48" s="93">
        <f t="shared" si="19"/>
        <v>19.468453821896482</v>
      </c>
      <c r="I48" s="93">
        <f t="shared" si="19"/>
        <v>20.71836235881522</v>
      </c>
      <c r="J48" s="93">
        <f t="shared" si="19"/>
        <v>22.057108606833676</v>
      </c>
      <c r="K48" s="93">
        <f t="shared" si="19"/>
        <v>23.491571812781018</v>
      </c>
      <c r="L48" s="93">
        <f t="shared" si="19"/>
        <v>25.029205219434651</v>
      </c>
      <c r="M48" s="93">
        <f t="shared" si="19"/>
        <v>26.678087250005525</v>
      </c>
      <c r="N48" s="93">
        <f t="shared" si="19"/>
        <v>28.446977539469927</v>
      </c>
      <c r="O48" s="93">
        <f t="shared" si="19"/>
        <v>30.345378297639805</v>
      </c>
      <c r="P48" s="93">
        <f t="shared" si="19"/>
        <v>32.383601539898571</v>
      </c>
      <c r="Q48" s="93">
        <f t="shared" si="19"/>
        <v>34.572842778193909</v>
      </c>
      <c r="R48" s="80">
        <f t="shared" ref="R48:R53" si="20">RATE(12,,-E48,Q48)</f>
        <v>6.5260867691355612E-2</v>
      </c>
      <c r="S48" s="66" t="s">
        <v>21</v>
      </c>
      <c r="T48" s="12">
        <v>0.25</v>
      </c>
      <c r="U48" s="12">
        <v>0.25155593539307364</v>
      </c>
      <c r="V48" s="12">
        <v>0.25312155452593693</v>
      </c>
      <c r="W48" s="12">
        <v>0.25469691766768382</v>
      </c>
      <c r="X48" s="12">
        <v>0.25628208546250747</v>
      </c>
      <c r="Y48" s="12">
        <v>0.2578771189320348</v>
      </c>
      <c r="Z48" s="12">
        <v>0.25948207947767565</v>
      </c>
      <c r="AA48" s="12">
        <v>0.2610970288829863</v>
      </c>
      <c r="AB48" s="12">
        <v>0.26272202931604799</v>
      </c>
      <c r="AC48" s="12">
        <v>0.26435714333185978</v>
      </c>
      <c r="AD48" s="12">
        <v>0.26600243387474731</v>
      </c>
      <c r="AE48" s="12">
        <v>0.26765796428078514</v>
      </c>
      <c r="AF48" s="12">
        <v>0.26932379828023517</v>
      </c>
      <c r="AG48" s="12">
        <v>0.27100000000000013</v>
      </c>
    </row>
    <row r="49" spans="1:33" x14ac:dyDescent="0.25">
      <c r="A49" s="112"/>
      <c r="B49" s="67" t="s">
        <v>22</v>
      </c>
      <c r="C49" s="48"/>
      <c r="D49" s="94">
        <f>D38*T49</f>
        <v>21.605584000000022</v>
      </c>
      <c r="E49" s="94">
        <f t="shared" ref="E49:Q49" si="21">E38*U49</f>
        <v>24.516083295133406</v>
      </c>
      <c r="F49" s="94">
        <f t="shared" si="21"/>
        <v>25.96081664219053</v>
      </c>
      <c r="G49" s="94">
        <f t="shared" si="21"/>
        <v>27.501185664912533</v>
      </c>
      <c r="H49" s="94">
        <f t="shared" si="21"/>
        <v>29.144151438255417</v>
      </c>
      <c r="I49" s="94">
        <f t="shared" si="21"/>
        <v>30.897224569170323</v>
      </c>
      <c r="J49" s="94">
        <f t="shared" si="21"/>
        <v>32.768511788754914</v>
      </c>
      <c r="K49" s="94">
        <f t="shared" si="21"/>
        <v>34.766766755650671</v>
      </c>
      <c r="L49" s="94">
        <f t="shared" si="21"/>
        <v>36.901445474093173</v>
      </c>
      <c r="M49" s="94">
        <f t="shared" si="21"/>
        <v>39.182766770782813</v>
      </c>
      <c r="N49" s="94">
        <f t="shared" si="21"/>
        <v>41.621778319831897</v>
      </c>
      <c r="O49" s="94">
        <f t="shared" si="21"/>
        <v>44.230428754940377</v>
      </c>
      <c r="P49" s="94">
        <f t="shared" si="21"/>
        <v>47.021646463193292</v>
      </c>
      <c r="Q49" s="94">
        <f t="shared" si="21"/>
        <v>50.009425716059063</v>
      </c>
      <c r="R49" s="81">
        <f t="shared" si="20"/>
        <v>6.1206899538488409E-2</v>
      </c>
      <c r="S49" s="67" t="s">
        <v>22</v>
      </c>
      <c r="T49" s="12">
        <v>0.38</v>
      </c>
      <c r="U49" s="12">
        <v>0.38090988938047371</v>
      </c>
      <c r="V49" s="12">
        <v>0.38182195744169661</v>
      </c>
      <c r="W49" s="12">
        <v>0.38273620940040159</v>
      </c>
      <c r="X49" s="12">
        <v>0.38365265048581265</v>
      </c>
      <c r="Y49" s="12">
        <v>0.38457128593967477</v>
      </c>
      <c r="Z49" s="12">
        <v>0.38549212101628438</v>
      </c>
      <c r="AA49" s="12">
        <v>0.38641516098251855</v>
      </c>
      <c r="AB49" s="12">
        <v>0.38734041111786593</v>
      </c>
      <c r="AC49" s="12">
        <v>0.38826787671445667</v>
      </c>
      <c r="AD49" s="12">
        <v>0.38919756307709236</v>
      </c>
      <c r="AE49" s="12">
        <v>0.39012947552327681</v>
      </c>
      <c r="AF49" s="12">
        <v>0.3910636193832463</v>
      </c>
      <c r="AG49" s="12">
        <v>0.39200000000000002</v>
      </c>
    </row>
    <row r="50" spans="1:33" x14ac:dyDescent="0.25">
      <c r="A50" s="112"/>
      <c r="B50" s="68" t="s">
        <v>23</v>
      </c>
      <c r="C50" s="48"/>
      <c r="D50" s="95">
        <f>D49*T50</f>
        <v>7.5619544000000047</v>
      </c>
      <c r="E50" s="95">
        <f t="shared" ref="E50:Q50" si="22">E49*U50</f>
        <v>8.5655734311415621</v>
      </c>
      <c r="F50" s="95">
        <f t="shared" si="22"/>
        <v>9.0544278861473977</v>
      </c>
      <c r="G50" s="95">
        <f t="shared" si="22"/>
        <v>9.5748370665213542</v>
      </c>
      <c r="H50" s="95">
        <f t="shared" si="22"/>
        <v>10.129049633042278</v>
      </c>
      <c r="I50" s="95">
        <f t="shared" si="22"/>
        <v>10.719488525531675</v>
      </c>
      <c r="J50" s="95">
        <f t="shared" si="22"/>
        <v>11.348765499257741</v>
      </c>
      <c r="K50" s="95">
        <f t="shared" si="22"/>
        <v>12.019696955936455</v>
      </c>
      <c r="L50" s="95">
        <f t="shared" si="22"/>
        <v>12.735321191678196</v>
      </c>
      <c r="M50" s="95">
        <f t="shared" si="22"/>
        <v>13.498917196437343</v>
      </c>
      <c r="N50" s="95">
        <f t="shared" si="22"/>
        <v>14.314025153012672</v>
      </c>
      <c r="O50" s="95">
        <f t="shared" si="22"/>
        <v>15.184468798558759</v>
      </c>
      <c r="P50" s="95">
        <f t="shared" si="22"/>
        <v>16.114379828059889</v>
      </c>
      <c r="Q50" s="95">
        <f t="shared" si="22"/>
        <v>17.108224537463794</v>
      </c>
      <c r="R50" s="81">
        <f t="shared" si="20"/>
        <v>5.9344887331328124E-2</v>
      </c>
      <c r="S50" s="68" t="s">
        <v>23</v>
      </c>
      <c r="T50" s="74">
        <v>0.34999999999999987</v>
      </c>
      <c r="U50" s="74">
        <v>0.34938588387166564</v>
      </c>
      <c r="V50" s="74">
        <v>0.34877284528224306</v>
      </c>
      <c r="W50" s="74">
        <v>0.34816088234106346</v>
      </c>
      <c r="X50" s="74">
        <v>0.34754999316077562</v>
      </c>
      <c r="Y50" s="74">
        <v>0.34694017585733994</v>
      </c>
      <c r="Z50" s="74">
        <v>0.34633142855002247</v>
      </c>
      <c r="AA50" s="74">
        <v>0.34572374936138933</v>
      </c>
      <c r="AB50" s="74">
        <v>0.34511713641730069</v>
      </c>
      <c r="AC50" s="74">
        <v>0.34451158784690528</v>
      </c>
      <c r="AD50" s="74">
        <v>0.34390710178263434</v>
      </c>
      <c r="AE50" s="74">
        <v>0.34330367636019604</v>
      </c>
      <c r="AF50" s="74">
        <v>0.34270130971856966</v>
      </c>
      <c r="AG50" s="74">
        <v>0.34209999999999979</v>
      </c>
    </row>
    <row r="51" spans="1:33" x14ac:dyDescent="0.25">
      <c r="A51" s="112"/>
      <c r="B51" s="68" t="s">
        <v>24</v>
      </c>
      <c r="C51" s="48"/>
      <c r="D51" s="95">
        <f>D49*T51</f>
        <v>6.0495635200000066</v>
      </c>
      <c r="E51" s="95">
        <f t="shared" ref="E51:Q51" si="23">E49*U51</f>
        <v>6.8885091846820359</v>
      </c>
      <c r="F51" s="95">
        <f t="shared" si="23"/>
        <v>7.3199586140532986</v>
      </c>
      <c r="G51" s="95">
        <f t="shared" si="23"/>
        <v>7.7814013522504126</v>
      </c>
      <c r="H51" s="95">
        <f t="shared" si="23"/>
        <v>8.2751130424276784</v>
      </c>
      <c r="I51" s="95">
        <f t="shared" si="23"/>
        <v>8.8035556105965149</v>
      </c>
      <c r="J51" s="95">
        <f t="shared" si="23"/>
        <v>9.3693935790210325</v>
      </c>
      <c r="K51" s="95">
        <f t="shared" si="23"/>
        <v>9.9755118979376434</v>
      </c>
      <c r="L51" s="95">
        <f t="shared" si="23"/>
        <v>10.625035444997398</v>
      </c>
      <c r="M51" s="95">
        <f t="shared" si="23"/>
        <v>11.321350357303977</v>
      </c>
      <c r="N51" s="95">
        <f t="shared" si="23"/>
        <v>12.068127378075678</v>
      </c>
      <c r="O51" s="95">
        <f t="shared" si="23"/>
        <v>12.869347418987157</v>
      </c>
      <c r="P51" s="95">
        <f t="shared" si="23"/>
        <v>13.729329560359561</v>
      </c>
      <c r="Q51" s="95">
        <f t="shared" si="23"/>
        <v>14.652761734805289</v>
      </c>
      <c r="R51" s="81">
        <f t="shared" si="20"/>
        <v>6.491804734246355E-2</v>
      </c>
      <c r="S51" s="68" t="s">
        <v>24</v>
      </c>
      <c r="T51" s="74">
        <v>0.28000000000000003</v>
      </c>
      <c r="U51" s="74">
        <v>0.28097918830490543</v>
      </c>
      <c r="V51" s="74">
        <v>0.28196180093029821</v>
      </c>
      <c r="W51" s="74">
        <v>0.28294784985137333</v>
      </c>
      <c r="X51" s="74">
        <v>0.28393734708520407</v>
      </c>
      <c r="Y51" s="74">
        <v>0.28493030469088876</v>
      </c>
      <c r="Z51" s="74">
        <v>0.28592673476969749</v>
      </c>
      <c r="AA51" s="74">
        <v>0.28692664946521995</v>
      </c>
      <c r="AB51" s="74">
        <v>0.28793006096351298</v>
      </c>
      <c r="AC51" s="74">
        <v>0.28893698149324931</v>
      </c>
      <c r="AD51" s="74">
        <v>0.28994742332586665</v>
      </c>
      <c r="AE51" s="74">
        <v>0.29096139877571725</v>
      </c>
      <c r="AF51" s="74">
        <v>0.29197892020021765</v>
      </c>
      <c r="AG51" s="74">
        <v>0.29299999999999965</v>
      </c>
    </row>
    <row r="52" spans="1:33" x14ac:dyDescent="0.25">
      <c r="A52" s="112"/>
      <c r="B52" s="68" t="s">
        <v>25</v>
      </c>
      <c r="C52" s="48"/>
      <c r="D52" s="95">
        <f>D49*T52</f>
        <v>7.9940660800000103</v>
      </c>
      <c r="E52" s="95">
        <f t="shared" ref="E52:Q52" si="24">E49*U52</f>
        <v>9.0620006793098096</v>
      </c>
      <c r="F52" s="95">
        <f t="shared" si="24"/>
        <v>9.5864301419898315</v>
      </c>
      <c r="G52" s="95">
        <f t="shared" si="24"/>
        <v>10.144947246140768</v>
      </c>
      <c r="H52" s="95">
        <f t="shared" si="24"/>
        <v>10.739988762785458</v>
      </c>
      <c r="I52" s="95">
        <f t="shared" si="24"/>
        <v>11.374180433042133</v>
      </c>
      <c r="J52" s="95">
        <f t="shared" si="24"/>
        <v>12.05035271047614</v>
      </c>
      <c r="K52" s="95">
        <f t="shared" si="24"/>
        <v>12.771557901776575</v>
      </c>
      <c r="L52" s="95">
        <f t="shared" si="24"/>
        <v>13.541088837417581</v>
      </c>
      <c r="M52" s="95">
        <f t="shared" si="24"/>
        <v>14.36249921704149</v>
      </c>
      <c r="N52" s="95">
        <f t="shared" si="24"/>
        <v>15.239625788743545</v>
      </c>
      <c r="O52" s="95">
        <f t="shared" si="24"/>
        <v>16.176612537394455</v>
      </c>
      <c r="P52" s="95">
        <f t="shared" si="24"/>
        <v>17.177937074773844</v>
      </c>
      <c r="Q52" s="95">
        <f t="shared" si="24"/>
        <v>18.24843944378998</v>
      </c>
      <c r="R52" s="81">
        <f t="shared" si="20"/>
        <v>6.0067378192397998E-2</v>
      </c>
      <c r="S52" s="68" t="s">
        <v>25</v>
      </c>
      <c r="T52" s="74">
        <f>1-SUM(T50:T51)</f>
        <v>0.37000000000000011</v>
      </c>
      <c r="U52" s="74">
        <f t="shared" ref="U52:AG52" si="25">1-SUM(U50:U51)</f>
        <v>0.36963492782342899</v>
      </c>
      <c r="V52" s="74">
        <f t="shared" si="25"/>
        <v>0.36926535378745873</v>
      </c>
      <c r="W52" s="74">
        <f t="shared" si="25"/>
        <v>0.36889126780756321</v>
      </c>
      <c r="X52" s="74">
        <f t="shared" si="25"/>
        <v>0.36851265975402026</v>
      </c>
      <c r="Y52" s="74">
        <f t="shared" si="25"/>
        <v>0.3681295194517713</v>
      </c>
      <c r="Z52" s="74">
        <f t="shared" si="25"/>
        <v>0.36774183668028004</v>
      </c>
      <c r="AA52" s="74">
        <f t="shared" si="25"/>
        <v>0.36734960117339077</v>
      </c>
      <c r="AB52" s="74">
        <f t="shared" si="25"/>
        <v>0.36695280261918639</v>
      </c>
      <c r="AC52" s="74">
        <f t="shared" si="25"/>
        <v>0.36655143065984541</v>
      </c>
      <c r="AD52" s="74">
        <f t="shared" si="25"/>
        <v>0.36614547489149896</v>
      </c>
      <c r="AE52" s="74">
        <f t="shared" si="25"/>
        <v>0.36573492486408665</v>
      </c>
      <c r="AF52" s="74">
        <f t="shared" si="25"/>
        <v>0.36531977008121275</v>
      </c>
      <c r="AG52" s="74">
        <f t="shared" si="25"/>
        <v>0.36490000000000056</v>
      </c>
    </row>
    <row r="53" spans="1:33" ht="15.75" thickBot="1" x14ac:dyDescent="0.3">
      <c r="A53" s="111"/>
      <c r="B53" s="69" t="s">
        <v>26</v>
      </c>
      <c r="C53" s="58"/>
      <c r="D53" s="96">
        <f>D38*T53</f>
        <v>21.037016000000019</v>
      </c>
      <c r="E53" s="96">
        <f t="shared" ref="E53:Q53" si="26">E38*U53</f>
        <v>23.655196950425434</v>
      </c>
      <c r="F53" s="96">
        <f t="shared" si="26"/>
        <v>24.820899807202494</v>
      </c>
      <c r="G53" s="96">
        <f t="shared" si="26"/>
        <v>26.051935101902256</v>
      </c>
      <c r="H53" s="96">
        <f t="shared" si="26"/>
        <v>27.352336989955557</v>
      </c>
      <c r="I53" s="96">
        <f t="shared" si="26"/>
        <v>28.726408688444774</v>
      </c>
      <c r="J53" s="96">
        <f t="shared" si="26"/>
        <v>30.178741567416804</v>
      </c>
      <c r="K53" s="96">
        <f t="shared" si="26"/>
        <v>31.714235663001027</v>
      </c>
      <c r="L53" s="96">
        <f t="shared" si="26"/>
        <v>33.338121721917958</v>
      </c>
      <c r="M53" s="96">
        <f t="shared" si="26"/>
        <v>35.055984895553287</v>
      </c>
      <c r="N53" s="96">
        <f t="shared" si="26"/>
        <v>36.873790211027625</v>
      </c>
      <c r="O53" s="96">
        <f t="shared" si="26"/>
        <v>38.797909956662814</v>
      </c>
      <c r="P53" s="96">
        <f t="shared" si="26"/>
        <v>40.835153129982103</v>
      </c>
      <c r="Q53" s="96">
        <f t="shared" si="26"/>
        <v>42.992797107938515</v>
      </c>
      <c r="R53" s="82">
        <f t="shared" si="20"/>
        <v>5.10477037659363E-2</v>
      </c>
      <c r="S53" s="69" t="s">
        <v>26</v>
      </c>
      <c r="T53" s="12">
        <f>1-SUM(T48+T49)</f>
        <v>0.37</v>
      </c>
      <c r="U53" s="12">
        <f t="shared" ref="U53:AG53" si="27">1-SUM(U48+U49)</f>
        <v>0.36753417522645271</v>
      </c>
      <c r="V53" s="12">
        <f t="shared" si="27"/>
        <v>0.36505648803236646</v>
      </c>
      <c r="W53" s="12">
        <f t="shared" si="27"/>
        <v>0.36256687293191459</v>
      </c>
      <c r="X53" s="12">
        <f t="shared" si="27"/>
        <v>0.36006526405167993</v>
      </c>
      <c r="Y53" s="12">
        <f t="shared" si="27"/>
        <v>0.35755159512829038</v>
      </c>
      <c r="Z53" s="12">
        <f t="shared" si="27"/>
        <v>0.35502579950603996</v>
      </c>
      <c r="AA53" s="12">
        <f t="shared" si="27"/>
        <v>0.35248781013449515</v>
      </c>
      <c r="AB53" s="12">
        <f t="shared" si="27"/>
        <v>0.34993755956608608</v>
      </c>
      <c r="AC53" s="12">
        <f t="shared" si="27"/>
        <v>0.3473749799536836</v>
      </c>
      <c r="AD53" s="12">
        <f t="shared" si="27"/>
        <v>0.34480000304816039</v>
      </c>
      <c r="AE53" s="12">
        <f t="shared" si="27"/>
        <v>0.34221256019593804</v>
      </c>
      <c r="AF53" s="12">
        <f t="shared" si="27"/>
        <v>0.33961258233651859</v>
      </c>
      <c r="AG53" s="12">
        <f t="shared" si="27"/>
        <v>0.33699999999999986</v>
      </c>
    </row>
    <row r="54" spans="1:33" ht="15.75" thickBot="1" x14ac:dyDescent="0.3">
      <c r="A54" s="2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21"/>
    </row>
    <row r="55" spans="1:33" x14ac:dyDescent="0.25">
      <c r="A55" s="113" t="s">
        <v>27</v>
      </c>
      <c r="B55" s="61" t="s">
        <v>28</v>
      </c>
      <c r="C55" s="56"/>
      <c r="D55" s="91">
        <f>D38*T55</f>
        <v>22.799576800000022</v>
      </c>
      <c r="E55" s="91">
        <f t="shared" ref="E55:Q55" si="28">E38*U55</f>
        <v>25.915376337473983</v>
      </c>
      <c r="F55" s="91">
        <f t="shared" si="28"/>
        <v>27.489727656523421</v>
      </c>
      <c r="G55" s="91">
        <f t="shared" si="28"/>
        <v>29.170855182681336</v>
      </c>
      <c r="H55" s="91">
        <f t="shared" si="28"/>
        <v>30.966691945059743</v>
      </c>
      <c r="I55" s="91">
        <f t="shared" si="28"/>
        <v>32.885808542044636</v>
      </c>
      <c r="J55" s="91">
        <f t="shared" si="28"/>
        <v>34.937468066515358</v>
      </c>
      <c r="K55" s="91">
        <f t="shared" si="28"/>
        <v>37.131686067624393</v>
      </c>
      <c r="L55" s="91">
        <f t="shared" si="28"/>
        <v>39.479296038014382</v>
      </c>
      <c r="M55" s="91">
        <f t="shared" si="28"/>
        <v>41.992020965352062</v>
      </c>
      <c r="N55" s="91">
        <f t="shared" si="28"/>
        <v>44.68255154243051</v>
      </c>
      <c r="O55" s="91">
        <f t="shared" si="28"/>
        <v>47.564631691434982</v>
      </c>
      <c r="P55" s="91">
        <f t="shared" si="28"/>
        <v>50.653152125956545</v>
      </c>
      <c r="Q55" s="91">
        <f t="shared" si="28"/>
        <v>53.964252749726917</v>
      </c>
      <c r="R55" s="78">
        <f>RATE(12,,-E55,Q55)</f>
        <v>6.3030488640576365E-2</v>
      </c>
      <c r="S55" s="61" t="s">
        <v>28</v>
      </c>
      <c r="T55" s="12">
        <v>0.40099999999999997</v>
      </c>
      <c r="U55" s="12">
        <v>0.40265090533119946</v>
      </c>
      <c r="V55" s="12">
        <v>0.40430860739160734</v>
      </c>
      <c r="W55" s="12">
        <v>0.40597313416316017</v>
      </c>
      <c r="X55" s="12">
        <v>0.40764451374299493</v>
      </c>
      <c r="Y55" s="12">
        <v>0.40932277434392395</v>
      </c>
      <c r="Z55" s="12">
        <v>0.41100794429491083</v>
      </c>
      <c r="AA55" s="12">
        <v>0.4127000520415488</v>
      </c>
      <c r="AB55" s="12">
        <v>0.41439912614654062</v>
      </c>
      <c r="AC55" s="12">
        <v>0.41610519529018092</v>
      </c>
      <c r="AD55" s="12">
        <v>0.41781828827084017</v>
      </c>
      <c r="AE55" s="12">
        <v>0.4195384340054511</v>
      </c>
      <c r="AF55" s="12">
        <v>0.4212656615299965</v>
      </c>
      <c r="AG55" s="12">
        <v>0.42299999999999938</v>
      </c>
    </row>
    <row r="56" spans="1:33" x14ac:dyDescent="0.25">
      <c r="A56" s="114"/>
      <c r="B56" s="62" t="s">
        <v>29</v>
      </c>
      <c r="C56" s="47"/>
      <c r="D56" s="97">
        <f>D38*T56</f>
        <v>24.505280800000023</v>
      </c>
      <c r="E56" s="97">
        <f t="shared" ref="E56:Q56" si="29">E38*U56</f>
        <v>27.793806729006469</v>
      </c>
      <c r="F56" s="97">
        <f t="shared" si="29"/>
        <v>29.418367317278339</v>
      </c>
      <c r="G56" s="97">
        <f t="shared" si="29"/>
        <v>31.14977442080891</v>
      </c>
      <c r="H56" s="97">
        <f t="shared" si="29"/>
        <v>32.995762902547412</v>
      </c>
      <c r="I56" s="97">
        <f t="shared" si="29"/>
        <v>34.96467535632123</v>
      </c>
      <c r="J56" s="97">
        <f t="shared" si="29"/>
        <v>37.065513416596133</v>
      </c>
      <c r="K56" s="97">
        <f t="shared" si="29"/>
        <v>39.307993688246732</v>
      </c>
      <c r="L56" s="97">
        <f t="shared" si="29"/>
        <v>41.702608737361466</v>
      </c>
      <c r="M56" s="97">
        <f t="shared" si="29"/>
        <v>44.260693628524287</v>
      </c>
      <c r="N56" s="97">
        <f t="shared" si="29"/>
        <v>46.994498543136245</v>
      </c>
      <c r="O56" s="97">
        <f t="shared" si="29"/>
        <v>49.917268067682272</v>
      </c>
      <c r="P56" s="97">
        <f t="shared" si="29"/>
        <v>53.043327800995179</v>
      </c>
      <c r="Q56" s="97">
        <f t="shared" si="29"/>
        <v>56.388178996168676</v>
      </c>
      <c r="R56" s="83">
        <f>RATE(12,,-E56,Q56)</f>
        <v>6.072629840015914E-2</v>
      </c>
      <c r="S56" s="62" t="s">
        <v>29</v>
      </c>
      <c r="T56" s="12">
        <v>0.43099999999999999</v>
      </c>
      <c r="U56" s="12">
        <v>0.43183634674261745</v>
      </c>
      <c r="V56" s="12">
        <v>0.43267431639909548</v>
      </c>
      <c r="W56" s="12">
        <v>0.43351391211866536</v>
      </c>
      <c r="X56" s="12">
        <v>0.43435513705666956</v>
      </c>
      <c r="Y56" s="12">
        <v>0.43519799437457324</v>
      </c>
      <c r="Z56" s="12">
        <v>0.43604248723997657</v>
      </c>
      <c r="AA56" s="12">
        <v>0.43688861882662616</v>
      </c>
      <c r="AB56" s="12">
        <v>0.43773639231442729</v>
      </c>
      <c r="AC56" s="12">
        <v>0.43858581088945586</v>
      </c>
      <c r="AD56" s="12">
        <v>0.43943687774397006</v>
      </c>
      <c r="AE56" s="12">
        <v>0.44028959607642287</v>
      </c>
      <c r="AF56" s="12">
        <v>0.44114396909147369</v>
      </c>
      <c r="AG56" s="12">
        <v>0.44200000000000028</v>
      </c>
    </row>
    <row r="57" spans="1:33" ht="15.75" thickBot="1" x14ac:dyDescent="0.3">
      <c r="A57" s="115"/>
      <c r="B57" s="63" t="s">
        <v>30</v>
      </c>
      <c r="C57" s="51"/>
      <c r="D57" s="92">
        <f>D38*T57</f>
        <v>9.5519424000000122</v>
      </c>
      <c r="E57" s="92">
        <f t="shared" ref="E57:Q57" si="30">E38*U57</f>
        <v>10.652714533519621</v>
      </c>
      <c r="F57" s="92">
        <f t="shared" si="30"/>
        <v>11.083847700565491</v>
      </c>
      <c r="G57" s="92">
        <f t="shared" si="30"/>
        <v>11.533522131973113</v>
      </c>
      <c r="H57" s="92">
        <f t="shared" si="30"/>
        <v>12.002487402500295</v>
      </c>
      <c r="I57" s="92">
        <f t="shared" si="30"/>
        <v>12.491511718064451</v>
      </c>
      <c r="J57" s="92">
        <f t="shared" si="30"/>
        <v>13.001380479893902</v>
      </c>
      <c r="K57" s="92">
        <f t="shared" si="30"/>
        <v>13.532894475561582</v>
      </c>
      <c r="L57" s="92">
        <f t="shared" si="30"/>
        <v>14.086867640069933</v>
      </c>
      <c r="M57" s="92">
        <f t="shared" si="30"/>
        <v>14.664124322465275</v>
      </c>
      <c r="N57" s="92">
        <f t="shared" si="30"/>
        <v>15.265495984762685</v>
      </c>
      <c r="O57" s="92">
        <f t="shared" si="30"/>
        <v>15.891817250125749</v>
      </c>
      <c r="P57" s="92">
        <f t="shared" si="30"/>
        <v>16.543921206122246</v>
      </c>
      <c r="Q57" s="92">
        <f t="shared" si="30"/>
        <v>17.222633856295893</v>
      </c>
      <c r="R57" s="79">
        <f>RATE(12,,-E57,Q57)</f>
        <v>4.0846309395531195E-2</v>
      </c>
      <c r="S57" s="63" t="s">
        <v>30</v>
      </c>
      <c r="T57" s="12">
        <f>1-SUM(T55:T56)</f>
        <v>0.16800000000000004</v>
      </c>
      <c r="U57" s="12">
        <f t="shared" ref="U57:AG57" si="31">1-SUM(U55:U56)</f>
        <v>0.16551274792618309</v>
      </c>
      <c r="V57" s="12">
        <f t="shared" si="31"/>
        <v>0.16301707620929717</v>
      </c>
      <c r="W57" s="12">
        <f t="shared" si="31"/>
        <v>0.16051295371817442</v>
      </c>
      <c r="X57" s="12">
        <f t="shared" si="31"/>
        <v>0.15800034920033545</v>
      </c>
      <c r="Y57" s="12">
        <f t="shared" si="31"/>
        <v>0.15547923128150276</v>
      </c>
      <c r="Z57" s="12">
        <f t="shared" si="31"/>
        <v>0.15294956846511254</v>
      </c>
      <c r="AA57" s="12">
        <f t="shared" si="31"/>
        <v>0.15041132913182498</v>
      </c>
      <c r="AB57" s="12">
        <f t="shared" si="31"/>
        <v>0.14786448153903209</v>
      </c>
      <c r="AC57" s="12">
        <f t="shared" si="31"/>
        <v>0.14530899382036322</v>
      </c>
      <c r="AD57" s="12">
        <f t="shared" si="31"/>
        <v>0.14274483398518978</v>
      </c>
      <c r="AE57" s="12">
        <f t="shared" si="31"/>
        <v>0.14017196991812608</v>
      </c>
      <c r="AF57" s="12">
        <f t="shared" si="31"/>
        <v>0.13759036937852986</v>
      </c>
      <c r="AG57" s="12">
        <f t="shared" si="31"/>
        <v>0.13500000000000034</v>
      </c>
    </row>
    <row r="61" spans="1:33" ht="26.25" x14ac:dyDescent="0.4">
      <c r="A61" s="109" t="s">
        <v>77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70"/>
    </row>
    <row r="62" spans="1:33" ht="24" thickBot="1" x14ac:dyDescent="0.4">
      <c r="A62" s="70"/>
      <c r="B62" s="70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spans="1:33" ht="15.75" x14ac:dyDescent="0.25">
      <c r="A63" s="49"/>
      <c r="B63" s="50"/>
      <c r="C63" s="100"/>
      <c r="D63" s="98">
        <v>2023</v>
      </c>
      <c r="E63" s="72">
        <v>2024</v>
      </c>
      <c r="F63" s="72">
        <v>2025</v>
      </c>
      <c r="G63" s="72">
        <v>2026</v>
      </c>
      <c r="H63" s="72">
        <v>2027</v>
      </c>
      <c r="I63" s="72">
        <v>2028</v>
      </c>
      <c r="J63" s="72">
        <v>2029</v>
      </c>
      <c r="K63" s="72">
        <v>2030</v>
      </c>
      <c r="L63" s="72">
        <v>2031</v>
      </c>
      <c r="M63" s="72">
        <v>2032</v>
      </c>
      <c r="N63" s="72">
        <v>2033</v>
      </c>
      <c r="O63" s="72">
        <v>2034</v>
      </c>
      <c r="P63" s="72">
        <v>2035</v>
      </c>
      <c r="Q63" s="72">
        <v>2036</v>
      </c>
      <c r="R63" s="73" t="s">
        <v>13</v>
      </c>
    </row>
    <row r="64" spans="1:33" ht="16.5" thickBot="1" x14ac:dyDescent="0.3">
      <c r="A64" s="26"/>
      <c r="B64" s="101"/>
      <c r="C64" s="102"/>
      <c r="D64" s="99">
        <f>'Market Analysis'!C60</f>
        <v>28.428400000000028</v>
      </c>
      <c r="E64" s="99">
        <f>'Market Analysis'!D60</f>
        <v>31.612380800000029</v>
      </c>
      <c r="F64" s="99">
        <f>'Market Analysis'!E60</f>
        <v>33.596924324494644</v>
      </c>
      <c r="G64" s="99">
        <f>'Market Analysis'!F60</f>
        <v>35.732498588317824</v>
      </c>
      <c r="H64" s="99">
        <f>'Market Analysis'!G60</f>
        <v>38.032299683522972</v>
      </c>
      <c r="I64" s="99">
        <f>'Market Analysis'!H60</f>
        <v>40.510812743437654</v>
      </c>
      <c r="J64" s="99">
        <f>'Market Analysis'!I60</f>
        <v>43.183950347297873</v>
      </c>
      <c r="K64" s="99">
        <f>'Market Analysis'!J60</f>
        <v>46.069207064776748</v>
      </c>
      <c r="L64" s="99">
        <f>'Market Analysis'!K60</f>
        <v>49.185832166344774</v>
      </c>
      <c r="M64" s="99">
        <f>'Market Analysis'!L60</f>
        <v>52.555022797222925</v>
      </c>
      <c r="N64" s="99">
        <f>'Market Analysis'!M60</f>
        <v>56.200140223278389</v>
      </c>
      <c r="O64" s="99">
        <f>'Market Analysis'!N60</f>
        <v>60.1469521124151</v>
      </c>
      <c r="P64" s="99">
        <f>'Market Analysis'!O60</f>
        <v>64.423904221605667</v>
      </c>
      <c r="Q64" s="99">
        <f>'Market Analysis'!P60</f>
        <v>69.062425325561264</v>
      </c>
      <c r="R64" s="75">
        <f>RATE(12,,-E64,Q64)</f>
        <v>6.7289045108466006E-2</v>
      </c>
      <c r="T64" s="72">
        <v>2023</v>
      </c>
      <c r="U64" s="72">
        <v>2024</v>
      </c>
      <c r="V64" s="72">
        <v>2025</v>
      </c>
      <c r="W64" s="72">
        <v>2026</v>
      </c>
      <c r="X64" s="72">
        <v>2027</v>
      </c>
      <c r="Y64" s="72">
        <v>2028</v>
      </c>
      <c r="Z64" s="72">
        <v>2029</v>
      </c>
      <c r="AA64" s="72">
        <v>2030</v>
      </c>
      <c r="AB64" s="72">
        <v>2031</v>
      </c>
      <c r="AC64" s="72">
        <v>2032</v>
      </c>
      <c r="AD64" s="72">
        <v>2033</v>
      </c>
      <c r="AE64" s="72">
        <v>2034</v>
      </c>
      <c r="AF64" s="72">
        <v>2035</v>
      </c>
      <c r="AG64" s="72">
        <v>2036</v>
      </c>
    </row>
    <row r="65" spans="1:33" x14ac:dyDescent="0.25">
      <c r="A65" s="110" t="s">
        <v>51</v>
      </c>
      <c r="B65" s="59" t="s">
        <v>34</v>
      </c>
      <c r="C65" s="52"/>
      <c r="D65" s="86">
        <f>D64*T65</f>
        <v>15.919904000000017</v>
      </c>
      <c r="E65" s="86">
        <f t="shared" ref="E65:Q65" si="32">E64*U65</f>
        <v>17.732067650509077</v>
      </c>
      <c r="F65" s="86">
        <f t="shared" si="32"/>
        <v>18.876255349286033</v>
      </c>
      <c r="G65" s="86">
        <f t="shared" si="32"/>
        <v>20.10915656711925</v>
      </c>
      <c r="H65" s="86">
        <f t="shared" si="32"/>
        <v>21.438638662486323</v>
      </c>
      <c r="I65" s="86">
        <f t="shared" si="32"/>
        <v>22.873347185628234</v>
      </c>
      <c r="J65" s="86">
        <f t="shared" si="32"/>
        <v>24.422790347964163</v>
      </c>
      <c r="K65" s="86">
        <f t="shared" si="32"/>
        <v>26.097433437649517</v>
      </c>
      <c r="L65" s="86">
        <f t="shared" si="32"/>
        <v>27.908804440721831</v>
      </c>
      <c r="M65" s="86">
        <f t="shared" si="32"/>
        <v>29.869612297617966</v>
      </c>
      <c r="N65" s="86">
        <f t="shared" si="32"/>
        <v>31.993879419657443</v>
      </c>
      <c r="O65" s="86">
        <f t="shared" si="32"/>
        <v>34.297090313087487</v>
      </c>
      <c r="P65" s="86">
        <f t="shared" si="32"/>
        <v>36.796358413788759</v>
      </c>
      <c r="Q65" s="86">
        <f t="shared" si="32"/>
        <v>39.510613528753531</v>
      </c>
      <c r="R65" s="84">
        <f>RATE(12,,-E65,Q65)</f>
        <v>6.9045523999348671E-2</v>
      </c>
      <c r="S65" s="59" t="s">
        <v>34</v>
      </c>
      <c r="T65" s="12">
        <v>0.56000000000000005</v>
      </c>
      <c r="U65" s="12">
        <v>0.56092161367703952</v>
      </c>
      <c r="V65" s="12">
        <v>0.56184474408938223</v>
      </c>
      <c r="W65" s="12">
        <v>0.56276939373317769</v>
      </c>
      <c r="X65" s="12">
        <v>0.56369556510868446</v>
      </c>
      <c r="Y65" s="12">
        <v>0.56462326072027491</v>
      </c>
      <c r="Z65" s="12">
        <v>0.56555248307644368</v>
      </c>
      <c r="AA65" s="12">
        <v>0.56648323468981299</v>
      </c>
      <c r="AB65" s="12">
        <v>0.56741551807714108</v>
      </c>
      <c r="AC65" s="12">
        <v>0.56834933575932756</v>
      </c>
      <c r="AD65" s="12">
        <v>0.56928469026142059</v>
      </c>
      <c r="AE65" s="12">
        <v>0.57022158411262425</v>
      </c>
      <c r="AF65" s="12">
        <v>0.57116001984630527</v>
      </c>
      <c r="AG65" s="12">
        <v>0.57209999999999905</v>
      </c>
    </row>
    <row r="66" spans="1:33" ht="15.75" thickBot="1" x14ac:dyDescent="0.3">
      <c r="A66" s="111"/>
      <c r="B66" s="60" t="s">
        <v>35</v>
      </c>
      <c r="C66" s="53"/>
      <c r="D66" s="87">
        <f>D64*T66</f>
        <v>12.508496000000012</v>
      </c>
      <c r="E66" s="87">
        <f t="shared" ref="E66:Q66" si="33">E64*U66</f>
        <v>13.88031314949095</v>
      </c>
      <c r="F66" s="87">
        <f t="shared" si="33"/>
        <v>14.720668975208611</v>
      </c>
      <c r="G66" s="87">
        <f t="shared" si="33"/>
        <v>15.623342021198575</v>
      </c>
      <c r="H66" s="87">
        <f t="shared" si="33"/>
        <v>16.593661021036649</v>
      </c>
      <c r="I66" s="87">
        <f t="shared" si="33"/>
        <v>17.637465557809421</v>
      </c>
      <c r="J66" s="87">
        <f t="shared" si="33"/>
        <v>18.76115999933371</v>
      </c>
      <c r="K66" s="87">
        <f t="shared" si="33"/>
        <v>19.971773627127231</v>
      </c>
      <c r="L66" s="87">
        <f t="shared" si="33"/>
        <v>21.277027725622943</v>
      </c>
      <c r="M66" s="87">
        <f t="shared" si="33"/>
        <v>22.685410499604959</v>
      </c>
      <c r="N66" s="87">
        <f t="shared" si="33"/>
        <v>24.206260803620946</v>
      </c>
      <c r="O66" s="87">
        <f t="shared" si="33"/>
        <v>25.849861799327609</v>
      </c>
      <c r="P66" s="87">
        <f t="shared" si="33"/>
        <v>27.627545807816904</v>
      </c>
      <c r="Q66" s="87">
        <f t="shared" si="33"/>
        <v>29.55181179680773</v>
      </c>
      <c r="R66" s="85">
        <f>RATE(12,,-E66,Q66)</f>
        <v>6.4997865469671748E-2</v>
      </c>
      <c r="S66" s="60" t="s">
        <v>35</v>
      </c>
      <c r="T66" s="12">
        <f>1-T65</f>
        <v>0.43999999999999995</v>
      </c>
      <c r="U66" s="12">
        <f t="shared" ref="U66:AG66" si="34">1-U65</f>
        <v>0.43907838632296048</v>
      </c>
      <c r="V66" s="12">
        <f t="shared" si="34"/>
        <v>0.43815525591061777</v>
      </c>
      <c r="W66" s="12">
        <f t="shared" si="34"/>
        <v>0.43723060626682231</v>
      </c>
      <c r="X66" s="12">
        <f t="shared" si="34"/>
        <v>0.43630443489131554</v>
      </c>
      <c r="Y66" s="12">
        <f t="shared" si="34"/>
        <v>0.43537673927972509</v>
      </c>
      <c r="Z66" s="12">
        <f t="shared" si="34"/>
        <v>0.43444751692355632</v>
      </c>
      <c r="AA66" s="12">
        <f t="shared" si="34"/>
        <v>0.43351676531018701</v>
      </c>
      <c r="AB66" s="12">
        <f t="shared" si="34"/>
        <v>0.43258448192285892</v>
      </c>
      <c r="AC66" s="12">
        <f t="shared" si="34"/>
        <v>0.43165066424067244</v>
      </c>
      <c r="AD66" s="12">
        <f t="shared" si="34"/>
        <v>0.43071530973857941</v>
      </c>
      <c r="AE66" s="12">
        <f t="shared" si="34"/>
        <v>0.42977841588737575</v>
      </c>
      <c r="AF66" s="12">
        <f t="shared" si="34"/>
        <v>0.42883998015369473</v>
      </c>
      <c r="AG66" s="12">
        <f t="shared" si="34"/>
        <v>0.42790000000000095</v>
      </c>
    </row>
    <row r="67" spans="1:33" ht="15.75" thickBot="1" x14ac:dyDescent="0.3">
      <c r="A67" s="1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21"/>
    </row>
    <row r="68" spans="1:33" x14ac:dyDescent="0.25">
      <c r="A68" s="110" t="s">
        <v>15</v>
      </c>
      <c r="B68" s="64" t="s">
        <v>16</v>
      </c>
      <c r="C68" s="54"/>
      <c r="D68" s="89">
        <f>D64*T68</f>
        <v>13.389776400000011</v>
      </c>
      <c r="E68" s="89">
        <f t="shared" ref="E68:Q68" si="35">E64*U68</f>
        <v>14.869977584000011</v>
      </c>
      <c r="F68" s="89">
        <f t="shared" si="35"/>
        <v>15.782801296129906</v>
      </c>
      <c r="G68" s="89">
        <f t="shared" si="35"/>
        <v>16.764039145396183</v>
      </c>
      <c r="H68" s="89">
        <f t="shared" si="35"/>
        <v>17.819595182487571</v>
      </c>
      <c r="I68" s="89">
        <f t="shared" si="35"/>
        <v>18.95594414756394</v>
      </c>
      <c r="J68" s="89">
        <f t="shared" si="35"/>
        <v>20.180192181525737</v>
      </c>
      <c r="K68" s="89">
        <f t="shared" si="35"/>
        <v>21.500144558615421</v>
      </c>
      <c r="L68" s="89">
        <f t="shared" si="35"/>
        <v>22.924381315067922</v>
      </c>
      <c r="M68" s="89">
        <f t="shared" si="35"/>
        <v>24.462341765076609</v>
      </c>
      <c r="N68" s="89">
        <f t="shared" si="35"/>
        <v>26.124419028405484</v>
      </c>
      <c r="O68" s="89">
        <f t="shared" si="35"/>
        <v>27.922065846032702</v>
      </c>
      <c r="P68" s="89">
        <f t="shared" si="35"/>
        <v>29.867913134124411</v>
      </c>
      <c r="Q68" s="89">
        <f t="shared" si="35"/>
        <v>31.975902925734864</v>
      </c>
      <c r="R68" s="76">
        <f>RATE(12,,-E68,Q68)</f>
        <v>6.5882606429978632E-2</v>
      </c>
      <c r="S68" s="64" t="s">
        <v>16</v>
      </c>
      <c r="T68" s="12">
        <v>0.47099999999999992</v>
      </c>
      <c r="U68" s="12">
        <v>0.47038461538461535</v>
      </c>
      <c r="V68" s="12">
        <v>0.46976923076923072</v>
      </c>
      <c r="W68" s="12">
        <v>0.46915384615384609</v>
      </c>
      <c r="X68" s="12">
        <v>0.46853846153846151</v>
      </c>
      <c r="Y68" s="12">
        <v>0.46792307692307689</v>
      </c>
      <c r="Z68" s="12">
        <v>0.46730769230769226</v>
      </c>
      <c r="AA68" s="12">
        <v>0.46669230769230763</v>
      </c>
      <c r="AB68" s="12">
        <v>0.46607692307692306</v>
      </c>
      <c r="AC68" s="12">
        <v>0.46546153846153843</v>
      </c>
      <c r="AD68" s="12">
        <v>0.4648461538461538</v>
      </c>
      <c r="AE68" s="12">
        <v>0.46423076923076922</v>
      </c>
      <c r="AF68" s="12">
        <v>0.4636153846153846</v>
      </c>
      <c r="AG68" s="12">
        <v>0.46299999999999997</v>
      </c>
    </row>
    <row r="69" spans="1:33" ht="15.75" thickBot="1" x14ac:dyDescent="0.3">
      <c r="A69" s="111"/>
      <c r="B69" s="65" t="s">
        <v>17</v>
      </c>
      <c r="C69" s="55"/>
      <c r="D69" s="90">
        <f>D64*T69</f>
        <v>15.038623600000019</v>
      </c>
      <c r="E69" s="90">
        <f t="shared" ref="E69:Q69" si="36">E64*U69</f>
        <v>16.742403216000014</v>
      </c>
      <c r="F69" s="90">
        <f t="shared" si="36"/>
        <v>17.81412302836474</v>
      </c>
      <c r="G69" s="90">
        <f t="shared" si="36"/>
        <v>18.968459442921642</v>
      </c>
      <c r="H69" s="90">
        <f t="shared" si="36"/>
        <v>20.2127045010354</v>
      </c>
      <c r="I69" s="90">
        <f t="shared" si="36"/>
        <v>21.554868595873714</v>
      </c>
      <c r="J69" s="90">
        <f t="shared" si="36"/>
        <v>23.00375816577214</v>
      </c>
      <c r="K69" s="90">
        <f t="shared" si="36"/>
        <v>24.569062506161327</v>
      </c>
      <c r="L69" s="90">
        <f t="shared" si="36"/>
        <v>26.261450851276852</v>
      </c>
      <c r="M69" s="90">
        <f t="shared" si="36"/>
        <v>28.09268103214632</v>
      </c>
      <c r="N69" s="90">
        <f t="shared" si="36"/>
        <v>30.075721194872905</v>
      </c>
      <c r="O69" s="90">
        <f t="shared" si="36"/>
        <v>32.224886266382399</v>
      </c>
      <c r="P69" s="90">
        <f t="shared" si="36"/>
        <v>34.55599108748126</v>
      </c>
      <c r="Q69" s="90">
        <f t="shared" si="36"/>
        <v>37.0865223998264</v>
      </c>
      <c r="R69" s="77">
        <f>RATE(12,,-E69,Q69)</f>
        <v>6.8521322189810246E-2</v>
      </c>
      <c r="S69" s="65" t="s">
        <v>17</v>
      </c>
      <c r="T69" s="12">
        <f>1-T68</f>
        <v>0.52900000000000014</v>
      </c>
      <c r="U69" s="12">
        <f t="shared" ref="U69:AG69" si="37">1-U68</f>
        <v>0.5296153846153846</v>
      </c>
      <c r="V69" s="12">
        <f t="shared" si="37"/>
        <v>0.53023076923076928</v>
      </c>
      <c r="W69" s="12">
        <f t="shared" si="37"/>
        <v>0.53084615384615397</v>
      </c>
      <c r="X69" s="12">
        <f t="shared" si="37"/>
        <v>0.53146153846153843</v>
      </c>
      <c r="Y69" s="12">
        <f t="shared" si="37"/>
        <v>0.53207692307692311</v>
      </c>
      <c r="Z69" s="12">
        <f t="shared" si="37"/>
        <v>0.5326923076923078</v>
      </c>
      <c r="AA69" s="12">
        <f t="shared" si="37"/>
        <v>0.53330769230769237</v>
      </c>
      <c r="AB69" s="12">
        <f t="shared" si="37"/>
        <v>0.53392307692307694</v>
      </c>
      <c r="AC69" s="12">
        <f t="shared" si="37"/>
        <v>0.53453846153846163</v>
      </c>
      <c r="AD69" s="12">
        <f t="shared" si="37"/>
        <v>0.5351538461538462</v>
      </c>
      <c r="AE69" s="12">
        <f t="shared" si="37"/>
        <v>0.53576923076923078</v>
      </c>
      <c r="AF69" s="12">
        <f t="shared" si="37"/>
        <v>0.53638461538461546</v>
      </c>
      <c r="AG69" s="12">
        <f t="shared" si="37"/>
        <v>0.53700000000000003</v>
      </c>
    </row>
    <row r="70" spans="1:33" ht="15.75" thickBot="1" x14ac:dyDescent="0.3">
      <c r="A70" s="1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21"/>
    </row>
    <row r="71" spans="1:33" x14ac:dyDescent="0.25">
      <c r="A71" s="110" t="s">
        <v>18</v>
      </c>
      <c r="B71" s="61" t="s">
        <v>19</v>
      </c>
      <c r="C71" s="56"/>
      <c r="D71" s="91">
        <f>D64*T71</f>
        <v>11.399788400000011</v>
      </c>
      <c r="E71" s="91">
        <f t="shared" ref="E71:Q71" si="38">E64*U71</f>
        <v>12.72875374879464</v>
      </c>
      <c r="F71" s="91">
        <f t="shared" si="38"/>
        <v>13.583525686277648</v>
      </c>
      <c r="G71" s="91">
        <f t="shared" si="38"/>
        <v>14.506434443380083</v>
      </c>
      <c r="H71" s="91">
        <f t="shared" si="38"/>
        <v>15.503658311017581</v>
      </c>
      <c r="I71" s="91">
        <f t="shared" si="38"/>
        <v>16.581998263071089</v>
      </c>
      <c r="J71" s="91">
        <f t="shared" si="38"/>
        <v>17.748946658776401</v>
      </c>
      <c r="K71" s="91">
        <f t="shared" si="38"/>
        <v>19.01276415314625</v>
      </c>
      <c r="L71" s="91">
        <f t="shared" si="38"/>
        <v>20.382565868523685</v>
      </c>
      <c r="M71" s="91">
        <f t="shared" si="38"/>
        <v>21.868418024518355</v>
      </c>
      <c r="N71" s="91">
        <f t="shared" si="38"/>
        <v>23.481446388671369</v>
      </c>
      <c r="O71" s="91">
        <f t="shared" si="38"/>
        <v>25.233958099443491</v>
      </c>
      <c r="P71" s="91">
        <f t="shared" si="38"/>
        <v>27.139578630259845</v>
      </c>
      <c r="Q71" s="91">
        <f t="shared" si="38"/>
        <v>29.213405912712371</v>
      </c>
      <c r="R71" s="78">
        <f>RATE(12,,-E71,Q71)</f>
        <v>7.1683043042509623E-2</v>
      </c>
      <c r="S71" s="61" t="s">
        <v>19</v>
      </c>
      <c r="T71" s="12">
        <v>0.40099999999999997</v>
      </c>
      <c r="U71" s="12">
        <v>0.40265090533119946</v>
      </c>
      <c r="V71" s="12">
        <v>0.40430860739160734</v>
      </c>
      <c r="W71" s="12">
        <v>0.40597313416316017</v>
      </c>
      <c r="X71" s="12">
        <v>0.40764451374299493</v>
      </c>
      <c r="Y71" s="12">
        <v>0.40932277434392395</v>
      </c>
      <c r="Z71" s="12">
        <v>0.41100794429491083</v>
      </c>
      <c r="AA71" s="12">
        <v>0.4127000520415488</v>
      </c>
      <c r="AB71" s="12">
        <v>0.41439912614654062</v>
      </c>
      <c r="AC71" s="12">
        <v>0.41610519529018092</v>
      </c>
      <c r="AD71" s="12">
        <v>0.41781828827084017</v>
      </c>
      <c r="AE71" s="12">
        <v>0.4195384340054511</v>
      </c>
      <c r="AF71" s="12">
        <v>0.4212656615299965</v>
      </c>
      <c r="AG71" s="12">
        <v>0.42299999999999938</v>
      </c>
    </row>
    <row r="72" spans="1:33" ht="15.75" thickBot="1" x14ac:dyDescent="0.3">
      <c r="A72" s="111"/>
      <c r="B72" s="63" t="s">
        <v>20</v>
      </c>
      <c r="C72" s="51"/>
      <c r="D72" s="92">
        <f>D64*T72</f>
        <v>17.028611600000016</v>
      </c>
      <c r="E72" s="92">
        <f t="shared" ref="E72:Q72" si="39">E64*U72</f>
        <v>18.883627051205387</v>
      </c>
      <c r="F72" s="92">
        <f t="shared" si="39"/>
        <v>20.013398638216998</v>
      </c>
      <c r="G72" s="92">
        <f t="shared" si="39"/>
        <v>21.226064144937741</v>
      </c>
      <c r="H72" s="92">
        <f t="shared" si="39"/>
        <v>22.52864137250539</v>
      </c>
      <c r="I72" s="92">
        <f t="shared" si="39"/>
        <v>23.928814480366565</v>
      </c>
      <c r="J72" s="92">
        <f t="shared" si="39"/>
        <v>25.435003688521473</v>
      </c>
      <c r="K72" s="92">
        <f t="shared" si="39"/>
        <v>27.056442911630498</v>
      </c>
      <c r="L72" s="92">
        <f t="shared" si="39"/>
        <v>28.803266297821089</v>
      </c>
      <c r="M72" s="92">
        <f t="shared" si="39"/>
        <v>30.686604772704573</v>
      </c>
      <c r="N72" s="92">
        <f t="shared" si="39"/>
        <v>32.718693834607024</v>
      </c>
      <c r="O72" s="92">
        <f t="shared" si="39"/>
        <v>34.912994012971609</v>
      </c>
      <c r="P72" s="92">
        <f t="shared" si="39"/>
        <v>37.284325591345819</v>
      </c>
      <c r="Q72" s="92">
        <f t="shared" si="39"/>
        <v>39.849019412848889</v>
      </c>
      <c r="R72" s="79">
        <f>RATE(12,,-E72,Q72)</f>
        <v>6.4210857270996458E-2</v>
      </c>
      <c r="S72" s="63" t="s">
        <v>20</v>
      </c>
      <c r="T72" s="12">
        <f>1-T71</f>
        <v>0.59899999999999998</v>
      </c>
      <c r="U72" s="12">
        <f t="shared" ref="U72:AG72" si="40">1-U71</f>
        <v>0.59734909466880048</v>
      </c>
      <c r="V72" s="12">
        <f t="shared" si="40"/>
        <v>0.59569139260839266</v>
      </c>
      <c r="W72" s="12">
        <f t="shared" si="40"/>
        <v>0.59402686583683983</v>
      </c>
      <c r="X72" s="12">
        <f t="shared" si="40"/>
        <v>0.59235548625700507</v>
      </c>
      <c r="Y72" s="12">
        <f t="shared" si="40"/>
        <v>0.59067722565607605</v>
      </c>
      <c r="Z72" s="12">
        <f t="shared" si="40"/>
        <v>0.58899205570508917</v>
      </c>
      <c r="AA72" s="12">
        <f t="shared" si="40"/>
        <v>0.5872999479584512</v>
      </c>
      <c r="AB72" s="12">
        <f t="shared" si="40"/>
        <v>0.58560087385345938</v>
      </c>
      <c r="AC72" s="12">
        <f t="shared" si="40"/>
        <v>0.58389480470981914</v>
      </c>
      <c r="AD72" s="12">
        <f t="shared" si="40"/>
        <v>0.58218171172915989</v>
      </c>
      <c r="AE72" s="12">
        <f t="shared" si="40"/>
        <v>0.5804615659945489</v>
      </c>
      <c r="AF72" s="12">
        <f t="shared" si="40"/>
        <v>0.57873433847000344</v>
      </c>
      <c r="AG72" s="12">
        <f t="shared" si="40"/>
        <v>0.57700000000000062</v>
      </c>
    </row>
    <row r="73" spans="1:33" ht="15.75" thickBot="1" x14ac:dyDescent="0.3">
      <c r="A73" s="2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21"/>
    </row>
    <row r="74" spans="1:33" x14ac:dyDescent="0.25">
      <c r="A74" s="110" t="s">
        <v>14</v>
      </c>
      <c r="B74" s="66" t="s">
        <v>21</v>
      </c>
      <c r="C74" s="57"/>
      <c r="D74" s="93">
        <f>D64*T74</f>
        <v>7.1071000000000071</v>
      </c>
      <c r="E74" s="93">
        <f t="shared" ref="E74:Q74" si="41">E64*U74</f>
        <v>7.9522820221460488</v>
      </c>
      <c r="F74" s="93">
        <f t="shared" si="41"/>
        <v>8.5041057123063482</v>
      </c>
      <c r="G74" s="93">
        <f t="shared" si="41"/>
        <v>9.1009572510094134</v>
      </c>
      <c r="H74" s="93">
        <f t="shared" si="41"/>
        <v>9.7469970778283308</v>
      </c>
      <c r="I74" s="93">
        <f t="shared" si="41"/>
        <v>10.446811675872864</v>
      </c>
      <c r="J74" s="93">
        <f t="shared" si="41"/>
        <v>11.205461236177547</v>
      </c>
      <c r="K74" s="93">
        <f t="shared" si="41"/>
        <v>12.028533087608292</v>
      </c>
      <c r="L74" s="93">
        <f t="shared" si="41"/>
        <v>12.922201640340647</v>
      </c>
      <c r="M74" s="93">
        <f t="shared" si="41"/>
        <v>13.893295694414618</v>
      </c>
      <c r="N74" s="93">
        <f t="shared" si="41"/>
        <v>14.949374083494137</v>
      </c>
      <c r="O74" s="93">
        <f t="shared" si="41"/>
        <v>16.098810760102896</v>
      </c>
      <c r="P74" s="93">
        <f t="shared" si="41"/>
        <v>17.350890585004915</v>
      </c>
      <c r="Q74" s="93">
        <f t="shared" si="41"/>
        <v>18.715917263227112</v>
      </c>
      <c r="R74" s="80">
        <f t="shared" ref="R74:R79" si="42">RATE(12,,-E74,Q74)</f>
        <v>7.3931576299823012E-2</v>
      </c>
      <c r="S74" s="66" t="s">
        <v>21</v>
      </c>
      <c r="T74" s="12">
        <v>0.25</v>
      </c>
      <c r="U74" s="12">
        <v>0.25155593539307364</v>
      </c>
      <c r="V74" s="12">
        <v>0.25312155452593693</v>
      </c>
      <c r="W74" s="12">
        <v>0.25469691766768382</v>
      </c>
      <c r="X74" s="12">
        <v>0.25628208546250747</v>
      </c>
      <c r="Y74" s="12">
        <v>0.2578771189320348</v>
      </c>
      <c r="Z74" s="12">
        <v>0.25948207947767565</v>
      </c>
      <c r="AA74" s="12">
        <v>0.2610970288829863</v>
      </c>
      <c r="AB74" s="12">
        <v>0.26272202931604799</v>
      </c>
      <c r="AC74" s="12">
        <v>0.26435714333185978</v>
      </c>
      <c r="AD74" s="12">
        <v>0.26600243387474731</v>
      </c>
      <c r="AE74" s="12">
        <v>0.26765796428078514</v>
      </c>
      <c r="AF74" s="12">
        <v>0.26932379828023517</v>
      </c>
      <c r="AG74" s="12">
        <v>0.27100000000000013</v>
      </c>
    </row>
    <row r="75" spans="1:33" x14ac:dyDescent="0.25">
      <c r="A75" s="112"/>
      <c r="B75" s="67" t="s">
        <v>22</v>
      </c>
      <c r="C75" s="48"/>
      <c r="D75" s="94">
        <f>D64*T75</f>
        <v>10.802792000000011</v>
      </c>
      <c r="E75" s="94">
        <f t="shared" ref="E75:Q75" si="43">E64*U75</f>
        <v>12.041468473581421</v>
      </c>
      <c r="F75" s="94">
        <f t="shared" si="43"/>
        <v>12.828043409599095</v>
      </c>
      <c r="G75" s="94">
        <f t="shared" si="43"/>
        <v>13.676121062097966</v>
      </c>
      <c r="H75" s="94">
        <f t="shared" si="43"/>
        <v>14.591192577654322</v>
      </c>
      <c r="I75" s="94">
        <f t="shared" si="43"/>
        <v>15.579295351205182</v>
      </c>
      <c r="J75" s="94">
        <f t="shared" si="43"/>
        <v>16.647072613241768</v>
      </c>
      <c r="K75" s="94">
        <f t="shared" si="43"/>
        <v>17.801840064272689</v>
      </c>
      <c r="L75" s="94">
        <f t="shared" si="43"/>
        <v>19.051660452486338</v>
      </c>
      <c r="M75" s="94">
        <f t="shared" si="43"/>
        <v>20.405427112157611</v>
      </c>
      <c r="N75" s="94">
        <f t="shared" si="43"/>
        <v>21.872957619490826</v>
      </c>
      <c r="O75" s="94">
        <f t="shared" si="43"/>
        <v>23.46509888194015</v>
      </c>
      <c r="P75" s="94">
        <f t="shared" si="43"/>
        <v>25.193845159700714</v>
      </c>
      <c r="Q75" s="94">
        <f t="shared" si="43"/>
        <v>27.072470727620015</v>
      </c>
      <c r="R75" s="81">
        <f t="shared" si="42"/>
        <v>6.9844610808252952E-2</v>
      </c>
      <c r="S75" s="67" t="s">
        <v>22</v>
      </c>
      <c r="T75" s="12">
        <v>0.38</v>
      </c>
      <c r="U75" s="12">
        <v>0.38090988938047371</v>
      </c>
      <c r="V75" s="12">
        <v>0.38182195744169661</v>
      </c>
      <c r="W75" s="12">
        <v>0.38273620940040159</v>
      </c>
      <c r="X75" s="12">
        <v>0.38365265048581265</v>
      </c>
      <c r="Y75" s="12">
        <v>0.38457128593967477</v>
      </c>
      <c r="Z75" s="12">
        <v>0.38549212101628438</v>
      </c>
      <c r="AA75" s="12">
        <v>0.38641516098251855</v>
      </c>
      <c r="AB75" s="12">
        <v>0.38734041111786593</v>
      </c>
      <c r="AC75" s="12">
        <v>0.38826787671445667</v>
      </c>
      <c r="AD75" s="12">
        <v>0.38919756307709236</v>
      </c>
      <c r="AE75" s="12">
        <v>0.39012947552327681</v>
      </c>
      <c r="AF75" s="12">
        <v>0.3910636193832463</v>
      </c>
      <c r="AG75" s="12">
        <v>0.39200000000000002</v>
      </c>
    </row>
    <row r="76" spans="1:33" x14ac:dyDescent="0.25">
      <c r="A76" s="112"/>
      <c r="B76" s="68" t="s">
        <v>23</v>
      </c>
      <c r="C76" s="48"/>
      <c r="D76" s="95">
        <f>D75*T76</f>
        <v>3.7809772000000024</v>
      </c>
      <c r="E76" s="95">
        <f t="shared" ref="E76:Q76" si="44">E75*U76</f>
        <v>4.2071191057550417</v>
      </c>
      <c r="F76" s="95">
        <f t="shared" si="44"/>
        <v>4.4740731993700029</v>
      </c>
      <c r="G76" s="95">
        <f t="shared" si="44"/>
        <v>4.7614903759832297</v>
      </c>
      <c r="H76" s="95">
        <f t="shared" si="44"/>
        <v>5.07116888057132</v>
      </c>
      <c r="I76" s="95">
        <f t="shared" si="44"/>
        <v>5.4050834688805649</v>
      </c>
      <c r="J76" s="95">
        <f t="shared" si="44"/>
        <v>5.765404439319977</v>
      </c>
      <c r="K76" s="95">
        <f t="shared" si="44"/>
        <v>6.1545188925521499</v>
      </c>
      <c r="L76" s="95">
        <f t="shared" si="44"/>
        <v>6.5750544993568205</v>
      </c>
      <c r="M76" s="95">
        <f t="shared" si="44"/>
        <v>7.0299060951037093</v>
      </c>
      <c r="N76" s="95">
        <f t="shared" si="44"/>
        <v>7.522265462333479</v>
      </c>
      <c r="O76" s="95">
        <f t="shared" si="44"/>
        <v>8.0556547123255786</v>
      </c>
      <c r="P76" s="95">
        <f t="shared" si="44"/>
        <v>8.633963733076282</v>
      </c>
      <c r="Q76" s="95">
        <f t="shared" si="44"/>
        <v>9.2614922359188014</v>
      </c>
      <c r="R76" s="81">
        <f t="shared" si="42"/>
        <v>6.796744272523067E-2</v>
      </c>
      <c r="S76" s="68" t="s">
        <v>23</v>
      </c>
      <c r="T76" s="74">
        <v>0.34999999999999987</v>
      </c>
      <c r="U76" s="74">
        <v>0.34938588387166564</v>
      </c>
      <c r="V76" s="74">
        <v>0.34877284528224306</v>
      </c>
      <c r="W76" s="74">
        <v>0.34816088234106346</v>
      </c>
      <c r="X76" s="74">
        <v>0.34754999316077562</v>
      </c>
      <c r="Y76" s="74">
        <v>0.34694017585733994</v>
      </c>
      <c r="Z76" s="74">
        <v>0.34633142855002247</v>
      </c>
      <c r="AA76" s="74">
        <v>0.34572374936138933</v>
      </c>
      <c r="AB76" s="74">
        <v>0.34511713641730069</v>
      </c>
      <c r="AC76" s="74">
        <v>0.34451158784690528</v>
      </c>
      <c r="AD76" s="74">
        <v>0.34390710178263434</v>
      </c>
      <c r="AE76" s="74">
        <v>0.34330367636019604</v>
      </c>
      <c r="AF76" s="74">
        <v>0.34270130971856966</v>
      </c>
      <c r="AG76" s="74">
        <v>0.34209999999999979</v>
      </c>
    </row>
    <row r="77" spans="1:33" x14ac:dyDescent="0.25">
      <c r="A77" s="112"/>
      <c r="B77" s="68" t="s">
        <v>24</v>
      </c>
      <c r="C77" s="48"/>
      <c r="D77" s="95">
        <f>D75*T77</f>
        <v>3.0247817600000033</v>
      </c>
      <c r="E77" s="95">
        <f t="shared" ref="E77:Q77" si="45">E75*U77</f>
        <v>3.3834020377060163</v>
      </c>
      <c r="F77" s="95">
        <f t="shared" si="45"/>
        <v>3.6170182221826042</v>
      </c>
      <c r="G77" s="95">
        <f t="shared" si="45"/>
        <v>3.8696290488276999</v>
      </c>
      <c r="H77" s="95">
        <f t="shared" si="45"/>
        <v>4.1429845113084891</v>
      </c>
      <c r="I77" s="95">
        <f t="shared" si="45"/>
        <v>4.4390133712882394</v>
      </c>
      <c r="J77" s="95">
        <f t="shared" si="45"/>
        <v>4.7598431157782741</v>
      </c>
      <c r="K77" s="95">
        <f t="shared" si="45"/>
        <v>5.1078223239574783</v>
      </c>
      <c r="L77" s="95">
        <f t="shared" si="45"/>
        <v>5.4855457555405405</v>
      </c>
      <c r="M77" s="95">
        <f t="shared" si="45"/>
        <v>5.8958825158673314</v>
      </c>
      <c r="N77" s="95">
        <f t="shared" si="45"/>
        <v>6.3420077022872468</v>
      </c>
      <c r="O77" s="95">
        <f t="shared" si="45"/>
        <v>6.8274379930998252</v>
      </c>
      <c r="P77" s="95">
        <f t="shared" si="45"/>
        <v>7.3560717054208951</v>
      </c>
      <c r="Q77" s="95">
        <f t="shared" si="45"/>
        <v>7.9322339231926549</v>
      </c>
      <c r="R77" s="81">
        <f t="shared" si="42"/>
        <v>7.3585965559077079E-2</v>
      </c>
      <c r="S77" s="68" t="s">
        <v>24</v>
      </c>
      <c r="T77" s="74">
        <v>0.28000000000000003</v>
      </c>
      <c r="U77" s="74">
        <v>0.28097918830490543</v>
      </c>
      <c r="V77" s="74">
        <v>0.28196180093029821</v>
      </c>
      <c r="W77" s="74">
        <v>0.28294784985137333</v>
      </c>
      <c r="X77" s="74">
        <v>0.28393734708520407</v>
      </c>
      <c r="Y77" s="74">
        <v>0.28493030469088876</v>
      </c>
      <c r="Z77" s="74">
        <v>0.28592673476969749</v>
      </c>
      <c r="AA77" s="74">
        <v>0.28692664946521995</v>
      </c>
      <c r="AB77" s="74">
        <v>0.28793006096351298</v>
      </c>
      <c r="AC77" s="74">
        <v>0.28893698149324931</v>
      </c>
      <c r="AD77" s="74">
        <v>0.28994742332586665</v>
      </c>
      <c r="AE77" s="74">
        <v>0.29096139877571725</v>
      </c>
      <c r="AF77" s="74">
        <v>0.29197892020021765</v>
      </c>
      <c r="AG77" s="74">
        <v>0.29299999999999965</v>
      </c>
    </row>
    <row r="78" spans="1:33" x14ac:dyDescent="0.25">
      <c r="A78" s="112"/>
      <c r="B78" s="68" t="s">
        <v>25</v>
      </c>
      <c r="C78" s="48"/>
      <c r="D78" s="95">
        <f>D75*T78</f>
        <v>3.9970330400000051</v>
      </c>
      <c r="E78" s="95">
        <f t="shared" ref="E78:Q78" si="46">E75*U78</f>
        <v>4.4509473301203641</v>
      </c>
      <c r="F78" s="95">
        <f t="shared" si="46"/>
        <v>4.7369519880464885</v>
      </c>
      <c r="G78" s="95">
        <f t="shared" si="46"/>
        <v>5.0450016372870365</v>
      </c>
      <c r="H78" s="95">
        <f t="shared" si="46"/>
        <v>5.377039185774513</v>
      </c>
      <c r="I78" s="95">
        <f t="shared" si="46"/>
        <v>5.7351985110363781</v>
      </c>
      <c r="J78" s="95">
        <f t="shared" si="46"/>
        <v>6.121825058143517</v>
      </c>
      <c r="K78" s="95">
        <f t="shared" si="46"/>
        <v>6.5394988477630616</v>
      </c>
      <c r="L78" s="95">
        <f t="shared" si="46"/>
        <v>6.9910601975889781</v>
      </c>
      <c r="M78" s="95">
        <f t="shared" si="46"/>
        <v>7.47963850118657</v>
      </c>
      <c r="N78" s="95">
        <f t="shared" si="46"/>
        <v>8.0086844548700995</v>
      </c>
      <c r="O78" s="95">
        <f t="shared" si="46"/>
        <v>8.582006176514744</v>
      </c>
      <c r="P78" s="95">
        <f t="shared" si="46"/>
        <v>9.2038097212035392</v>
      </c>
      <c r="Q78" s="95">
        <f t="shared" si="46"/>
        <v>9.8787445685085586</v>
      </c>
      <c r="R78" s="81">
        <f t="shared" si="42"/>
        <v>6.869581431104585E-2</v>
      </c>
      <c r="S78" s="68" t="s">
        <v>25</v>
      </c>
      <c r="T78" s="74">
        <f>1-SUM(T76:T77)</f>
        <v>0.37000000000000011</v>
      </c>
      <c r="U78" s="74">
        <f t="shared" ref="U78:AG78" si="47">1-SUM(U76:U77)</f>
        <v>0.36963492782342899</v>
      </c>
      <c r="V78" s="74">
        <f t="shared" si="47"/>
        <v>0.36926535378745873</v>
      </c>
      <c r="W78" s="74">
        <f t="shared" si="47"/>
        <v>0.36889126780756321</v>
      </c>
      <c r="X78" s="74">
        <f t="shared" si="47"/>
        <v>0.36851265975402026</v>
      </c>
      <c r="Y78" s="74">
        <f t="shared" si="47"/>
        <v>0.3681295194517713</v>
      </c>
      <c r="Z78" s="74">
        <f t="shared" si="47"/>
        <v>0.36774183668028004</v>
      </c>
      <c r="AA78" s="74">
        <f t="shared" si="47"/>
        <v>0.36734960117339077</v>
      </c>
      <c r="AB78" s="74">
        <f t="shared" si="47"/>
        <v>0.36695280261918639</v>
      </c>
      <c r="AC78" s="74">
        <f t="shared" si="47"/>
        <v>0.36655143065984541</v>
      </c>
      <c r="AD78" s="74">
        <f t="shared" si="47"/>
        <v>0.36614547489149896</v>
      </c>
      <c r="AE78" s="74">
        <f t="shared" si="47"/>
        <v>0.36573492486408665</v>
      </c>
      <c r="AF78" s="74">
        <f t="shared" si="47"/>
        <v>0.36531977008121275</v>
      </c>
      <c r="AG78" s="74">
        <f t="shared" si="47"/>
        <v>0.36490000000000056</v>
      </c>
    </row>
    <row r="79" spans="1:33" ht="15.75" thickBot="1" x14ac:dyDescent="0.3">
      <c r="A79" s="111"/>
      <c r="B79" s="69" t="s">
        <v>26</v>
      </c>
      <c r="C79" s="58"/>
      <c r="D79" s="96">
        <f>D64*T79</f>
        <v>10.51850800000001</v>
      </c>
      <c r="E79" s="96">
        <f t="shared" ref="E79:Q79" si="48">E64*U79</f>
        <v>11.61863030427256</v>
      </c>
      <c r="F79" s="96">
        <f t="shared" si="48"/>
        <v>12.264775202589201</v>
      </c>
      <c r="G79" s="96">
        <f t="shared" si="48"/>
        <v>12.955420275210447</v>
      </c>
      <c r="H79" s="96">
        <f t="shared" si="48"/>
        <v>13.694110028040322</v>
      </c>
      <c r="I79" s="96">
        <f t="shared" si="48"/>
        <v>14.484705716359606</v>
      </c>
      <c r="J79" s="96">
        <f t="shared" si="48"/>
        <v>15.331416497878559</v>
      </c>
      <c r="K79" s="96">
        <f t="shared" si="48"/>
        <v>16.238833912895767</v>
      </c>
      <c r="L79" s="96">
        <f t="shared" si="48"/>
        <v>17.211970073517787</v>
      </c>
      <c r="M79" s="96">
        <f t="shared" si="48"/>
        <v>18.2562999906507</v>
      </c>
      <c r="N79" s="96">
        <f t="shared" si="48"/>
        <v>19.377808520293431</v>
      </c>
      <c r="O79" s="96">
        <f t="shared" si="48"/>
        <v>20.583042470372057</v>
      </c>
      <c r="P79" s="96">
        <f t="shared" si="48"/>
        <v>21.879168476900041</v>
      </c>
      <c r="Q79" s="96">
        <f t="shared" si="48"/>
        <v>23.274037334714137</v>
      </c>
      <c r="R79" s="82">
        <f t="shared" si="42"/>
        <v>5.9602724088906017E-2</v>
      </c>
      <c r="S79" s="69" t="s">
        <v>26</v>
      </c>
      <c r="T79" s="12">
        <f>1-SUM(T74+T75)</f>
        <v>0.37</v>
      </c>
      <c r="U79" s="12">
        <f t="shared" ref="U79:AG79" si="49">1-SUM(U74+U75)</f>
        <v>0.36753417522645271</v>
      </c>
      <c r="V79" s="12">
        <f t="shared" si="49"/>
        <v>0.36505648803236646</v>
      </c>
      <c r="W79" s="12">
        <f t="shared" si="49"/>
        <v>0.36256687293191459</v>
      </c>
      <c r="X79" s="12">
        <f t="shared" si="49"/>
        <v>0.36006526405167993</v>
      </c>
      <c r="Y79" s="12">
        <f t="shared" si="49"/>
        <v>0.35755159512829038</v>
      </c>
      <c r="Z79" s="12">
        <f t="shared" si="49"/>
        <v>0.35502579950603996</v>
      </c>
      <c r="AA79" s="12">
        <f t="shared" si="49"/>
        <v>0.35248781013449515</v>
      </c>
      <c r="AB79" s="12">
        <f t="shared" si="49"/>
        <v>0.34993755956608608</v>
      </c>
      <c r="AC79" s="12">
        <f t="shared" si="49"/>
        <v>0.3473749799536836</v>
      </c>
      <c r="AD79" s="12">
        <f t="shared" si="49"/>
        <v>0.34480000304816039</v>
      </c>
      <c r="AE79" s="12">
        <f t="shared" si="49"/>
        <v>0.34221256019593804</v>
      </c>
      <c r="AF79" s="12">
        <f t="shared" si="49"/>
        <v>0.33961258233651859</v>
      </c>
      <c r="AG79" s="12">
        <f t="shared" si="49"/>
        <v>0.33699999999999986</v>
      </c>
    </row>
    <row r="80" spans="1:33" ht="15.75" thickBot="1" x14ac:dyDescent="0.3">
      <c r="A80" s="2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21"/>
    </row>
    <row r="81" spans="1:33" x14ac:dyDescent="0.25">
      <c r="A81" s="113" t="s">
        <v>27</v>
      </c>
      <c r="B81" s="61" t="s">
        <v>28</v>
      </c>
      <c r="C81" s="56"/>
      <c r="D81" s="91">
        <f>D64*T81</f>
        <v>11.399788400000011</v>
      </c>
      <c r="E81" s="91">
        <f t="shared" ref="E81:Q81" si="50">E64*U81</f>
        <v>12.72875374879464</v>
      </c>
      <c r="F81" s="91">
        <f t="shared" si="50"/>
        <v>13.583525686277648</v>
      </c>
      <c r="G81" s="91">
        <f t="shared" si="50"/>
        <v>14.506434443380083</v>
      </c>
      <c r="H81" s="91">
        <f t="shared" si="50"/>
        <v>15.503658311017581</v>
      </c>
      <c r="I81" s="91">
        <f t="shared" si="50"/>
        <v>16.581998263071089</v>
      </c>
      <c r="J81" s="91">
        <f t="shared" si="50"/>
        <v>17.748946658776401</v>
      </c>
      <c r="K81" s="91">
        <f t="shared" si="50"/>
        <v>19.01276415314625</v>
      </c>
      <c r="L81" s="91">
        <f t="shared" si="50"/>
        <v>20.382565868523685</v>
      </c>
      <c r="M81" s="91">
        <f t="shared" si="50"/>
        <v>21.868418024518355</v>
      </c>
      <c r="N81" s="91">
        <f t="shared" si="50"/>
        <v>23.481446388671369</v>
      </c>
      <c r="O81" s="91">
        <f t="shared" si="50"/>
        <v>25.233958099443491</v>
      </c>
      <c r="P81" s="91">
        <f t="shared" si="50"/>
        <v>27.139578630259845</v>
      </c>
      <c r="Q81" s="91">
        <f t="shared" si="50"/>
        <v>29.213405912712371</v>
      </c>
      <c r="R81" s="78">
        <f>RATE(12,,-E81,Q81)</f>
        <v>7.1683043042509623E-2</v>
      </c>
      <c r="S81" s="61" t="s">
        <v>28</v>
      </c>
      <c r="T81" s="12">
        <v>0.40099999999999997</v>
      </c>
      <c r="U81" s="12">
        <v>0.40265090533119946</v>
      </c>
      <c r="V81" s="12">
        <v>0.40430860739160734</v>
      </c>
      <c r="W81" s="12">
        <v>0.40597313416316017</v>
      </c>
      <c r="X81" s="12">
        <v>0.40764451374299493</v>
      </c>
      <c r="Y81" s="12">
        <v>0.40932277434392395</v>
      </c>
      <c r="Z81" s="12">
        <v>0.41100794429491083</v>
      </c>
      <c r="AA81" s="12">
        <v>0.4127000520415488</v>
      </c>
      <c r="AB81" s="12">
        <v>0.41439912614654062</v>
      </c>
      <c r="AC81" s="12">
        <v>0.41610519529018092</v>
      </c>
      <c r="AD81" s="12">
        <v>0.41781828827084017</v>
      </c>
      <c r="AE81" s="12">
        <v>0.4195384340054511</v>
      </c>
      <c r="AF81" s="12">
        <v>0.4212656615299965</v>
      </c>
      <c r="AG81" s="12">
        <v>0.42299999999999938</v>
      </c>
    </row>
    <row r="82" spans="1:33" x14ac:dyDescent="0.25">
      <c r="A82" s="114"/>
      <c r="B82" s="62" t="s">
        <v>29</v>
      </c>
      <c r="C82" s="47"/>
      <c r="D82" s="97">
        <f>D64*T82</f>
        <v>12.252640400000011</v>
      </c>
      <c r="E82" s="97">
        <f t="shared" ref="E82:Q82" si="51">E64*U82</f>
        <v>13.651375036508474</v>
      </c>
      <c r="F82" s="97">
        <f t="shared" si="51"/>
        <v>14.536526265212864</v>
      </c>
      <c r="G82" s="97">
        <f t="shared" si="51"/>
        <v>15.490535252796347</v>
      </c>
      <c r="H82" s="97">
        <f t="shared" si="51"/>
        <v>16.519524741616952</v>
      </c>
      <c r="I82" s="97">
        <f t="shared" si="51"/>
        <v>17.630224456427971</v>
      </c>
      <c r="J82" s="97">
        <f t="shared" si="51"/>
        <v>18.830037118283414</v>
      </c>
      <c r="K82" s="97">
        <f t="shared" si="51"/>
        <v>20.127112244968163</v>
      </c>
      <c r="L82" s="97">
        <f t="shared" si="51"/>
        <v>21.530428725478671</v>
      </c>
      <c r="M82" s="97">
        <f t="shared" si="51"/>
        <v>23.049887289833855</v>
      </c>
      <c r="N82" s="97">
        <f t="shared" si="51"/>
        <v>24.69641414849076</v>
      </c>
      <c r="O82" s="97">
        <f t="shared" si="51"/>
        <v>26.482077250803194</v>
      </c>
      <c r="P82" s="97">
        <f t="shared" si="51"/>
        <v>28.420216812688071</v>
      </c>
      <c r="Q82" s="97">
        <f t="shared" si="51"/>
        <v>30.525591993898097</v>
      </c>
      <c r="R82" s="83">
        <f>RATE(12,,-E82,Q82)</f>
        <v>6.9360097809642543E-2</v>
      </c>
      <c r="S82" s="62" t="s">
        <v>29</v>
      </c>
      <c r="T82" s="12">
        <v>0.43099999999999999</v>
      </c>
      <c r="U82" s="12">
        <v>0.43183634674261745</v>
      </c>
      <c r="V82" s="12">
        <v>0.43267431639909548</v>
      </c>
      <c r="W82" s="12">
        <v>0.43351391211866536</v>
      </c>
      <c r="X82" s="12">
        <v>0.43435513705666956</v>
      </c>
      <c r="Y82" s="12">
        <v>0.43519799437457324</v>
      </c>
      <c r="Z82" s="12">
        <v>0.43604248723997657</v>
      </c>
      <c r="AA82" s="12">
        <v>0.43688861882662616</v>
      </c>
      <c r="AB82" s="12">
        <v>0.43773639231442729</v>
      </c>
      <c r="AC82" s="12">
        <v>0.43858581088945586</v>
      </c>
      <c r="AD82" s="12">
        <v>0.43943687774397006</v>
      </c>
      <c r="AE82" s="12">
        <v>0.44028959607642287</v>
      </c>
      <c r="AF82" s="12">
        <v>0.44114396909147369</v>
      </c>
      <c r="AG82" s="12">
        <v>0.44200000000000028</v>
      </c>
    </row>
    <row r="83" spans="1:33" ht="15.75" thickBot="1" x14ac:dyDescent="0.3">
      <c r="A83" s="115"/>
      <c r="B83" s="63" t="s">
        <v>30</v>
      </c>
      <c r="C83" s="51"/>
      <c r="D83" s="92">
        <f>D64*T83</f>
        <v>4.7759712000000061</v>
      </c>
      <c r="E83" s="92">
        <f t="shared" ref="E83:Q83" si="52">E64*U83</f>
        <v>5.2322520146969147</v>
      </c>
      <c r="F83" s="92">
        <f t="shared" si="52"/>
        <v>5.4768723730041335</v>
      </c>
      <c r="G83" s="92">
        <f t="shared" si="52"/>
        <v>5.7355288921413914</v>
      </c>
      <c r="H83" s="92">
        <f t="shared" si="52"/>
        <v>6.0091166308884372</v>
      </c>
      <c r="I83" s="92">
        <f t="shared" si="52"/>
        <v>6.2985900239385924</v>
      </c>
      <c r="J83" s="92">
        <f t="shared" si="52"/>
        <v>6.6049665702380569</v>
      </c>
      <c r="K83" s="92">
        <f t="shared" si="52"/>
        <v>6.9293306666623318</v>
      </c>
      <c r="L83" s="92">
        <f t="shared" si="52"/>
        <v>7.2728375723424179</v>
      </c>
      <c r="M83" s="92">
        <f t="shared" si="52"/>
        <v>7.6367174828707141</v>
      </c>
      <c r="N83" s="92">
        <f t="shared" si="52"/>
        <v>8.02227968611626</v>
      </c>
      <c r="O83" s="92">
        <f t="shared" si="52"/>
        <v>8.4309167621684189</v>
      </c>
      <c r="P83" s="92">
        <f t="shared" si="52"/>
        <v>8.8641087786577533</v>
      </c>
      <c r="Q83" s="92">
        <f t="shared" si="52"/>
        <v>9.3234274189507946</v>
      </c>
      <c r="R83" s="79">
        <f>RATE(12,,-E83,Q83)</f>
        <v>4.9318295298452643E-2</v>
      </c>
      <c r="S83" s="63" t="s">
        <v>30</v>
      </c>
      <c r="T83" s="12">
        <f>1-SUM(T81:T82)</f>
        <v>0.16800000000000004</v>
      </c>
      <c r="U83" s="12">
        <f t="shared" ref="U83:AG83" si="53">1-SUM(U81:U82)</f>
        <v>0.16551274792618309</v>
      </c>
      <c r="V83" s="12">
        <f t="shared" si="53"/>
        <v>0.16301707620929717</v>
      </c>
      <c r="W83" s="12">
        <f t="shared" si="53"/>
        <v>0.16051295371817442</v>
      </c>
      <c r="X83" s="12">
        <f t="shared" si="53"/>
        <v>0.15800034920033545</v>
      </c>
      <c r="Y83" s="12">
        <f t="shared" si="53"/>
        <v>0.15547923128150276</v>
      </c>
      <c r="Z83" s="12">
        <f t="shared" si="53"/>
        <v>0.15294956846511254</v>
      </c>
      <c r="AA83" s="12">
        <f t="shared" si="53"/>
        <v>0.15041132913182498</v>
      </c>
      <c r="AB83" s="12">
        <f t="shared" si="53"/>
        <v>0.14786448153903209</v>
      </c>
      <c r="AC83" s="12">
        <f t="shared" si="53"/>
        <v>0.14530899382036322</v>
      </c>
      <c r="AD83" s="12">
        <f t="shared" si="53"/>
        <v>0.14274483398518978</v>
      </c>
      <c r="AE83" s="12">
        <f t="shared" si="53"/>
        <v>0.14017196991812608</v>
      </c>
      <c r="AF83" s="12">
        <f t="shared" si="53"/>
        <v>0.13759036937852986</v>
      </c>
      <c r="AG83" s="12">
        <f t="shared" si="53"/>
        <v>0.13500000000000034</v>
      </c>
    </row>
    <row r="86" spans="1:33" ht="26.25" x14ac:dyDescent="0.4">
      <c r="A86" s="109" t="s">
        <v>78</v>
      </c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70"/>
    </row>
    <row r="87" spans="1:33" ht="24" thickBot="1" x14ac:dyDescent="0.4">
      <c r="A87" s="70"/>
      <c r="B87" s="70"/>
      <c r="C87" s="70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 spans="1:33" ht="15.75" x14ac:dyDescent="0.25">
      <c r="A88" s="49"/>
      <c r="B88" s="50"/>
      <c r="C88" s="100"/>
      <c r="D88" s="98">
        <v>2023</v>
      </c>
      <c r="E88" s="72">
        <v>2024</v>
      </c>
      <c r="F88" s="72">
        <v>2025</v>
      </c>
      <c r="G88" s="72">
        <v>2026</v>
      </c>
      <c r="H88" s="72">
        <v>2027</v>
      </c>
      <c r="I88" s="72">
        <v>2028</v>
      </c>
      <c r="J88" s="72">
        <v>2029</v>
      </c>
      <c r="K88" s="72">
        <v>2030</v>
      </c>
      <c r="L88" s="72">
        <v>2031</v>
      </c>
      <c r="M88" s="72">
        <v>2032</v>
      </c>
      <c r="N88" s="72">
        <v>2033</v>
      </c>
      <c r="O88" s="72">
        <v>2034</v>
      </c>
      <c r="P88" s="72">
        <v>2035</v>
      </c>
      <c r="Q88" s="72">
        <v>2036</v>
      </c>
      <c r="R88" s="73" t="s">
        <v>13</v>
      </c>
    </row>
    <row r="89" spans="1:33" ht="16.5" thickBot="1" x14ac:dyDescent="0.3">
      <c r="A89" s="26"/>
      <c r="B89" s="101"/>
      <c r="C89" s="102"/>
      <c r="D89" s="99">
        <f>'Market Analysis'!C62</f>
        <v>56.856800000000057</v>
      </c>
      <c r="E89" s="99">
        <f>'Market Analysis'!D62</f>
        <v>61.00734640000006</v>
      </c>
      <c r="F89" s="99">
        <f>'Market Analysis'!E62</f>
        <v>65.504239648165765</v>
      </c>
      <c r="G89" s="99">
        <f>'Market Analysis'!F62</f>
        <v>70.379608017416402</v>
      </c>
      <c r="H89" s="99">
        <f>'Market Analysis'!G62</f>
        <v>75.668838009148075</v>
      </c>
      <c r="I89" s="99">
        <f>'Market Analysis'!H62</f>
        <v>81.41093145366824</v>
      </c>
      <c r="J89" s="99">
        <f>'Market Analysis'!I62</f>
        <v>87.648904548588817</v>
      </c>
      <c r="K89" s="99">
        <f>'Market Analysis'!J62</f>
        <v>94.430234077880684</v>
      </c>
      <c r="L89" s="99">
        <f>'Market Analysis'!K62</f>
        <v>101.80735674823804</v>
      </c>
      <c r="M89" s="99">
        <f>'Market Analysis'!L62</f>
        <v>109.83822837017875</v>
      </c>
      <c r="N89" s="99">
        <f>'Market Analysis'!M62</f>
        <v>118.58695051310859</v>
      </c>
      <c r="O89" s="99">
        <f>'Market Analysis'!N62</f>
        <v>128.12447329277174</v>
      </c>
      <c r="P89" s="99">
        <f>'Market Analysis'!O62</f>
        <v>138.52938412499594</v>
      </c>
      <c r="Q89" s="99">
        <f>'Market Analysis'!P62</f>
        <v>149.88879362324559</v>
      </c>
      <c r="R89" s="75">
        <f>RATE(12,,-E89,Q89)</f>
        <v>7.7785291308191049E-2</v>
      </c>
      <c r="T89" s="72">
        <v>2023</v>
      </c>
      <c r="U89" s="72">
        <v>2024</v>
      </c>
      <c r="V89" s="72">
        <v>2025</v>
      </c>
      <c r="W89" s="72">
        <v>2026</v>
      </c>
      <c r="X89" s="72">
        <v>2027</v>
      </c>
      <c r="Y89" s="72">
        <v>2028</v>
      </c>
      <c r="Z89" s="72">
        <v>2029</v>
      </c>
      <c r="AA89" s="72">
        <v>2030</v>
      </c>
      <c r="AB89" s="72">
        <v>2031</v>
      </c>
      <c r="AC89" s="72">
        <v>2032</v>
      </c>
      <c r="AD89" s="72">
        <v>2033</v>
      </c>
      <c r="AE89" s="72">
        <v>2034</v>
      </c>
      <c r="AF89" s="72">
        <v>2035</v>
      </c>
      <c r="AG89" s="72">
        <v>2036</v>
      </c>
    </row>
    <row r="90" spans="1:33" x14ac:dyDescent="0.25">
      <c r="A90" s="110" t="s">
        <v>51</v>
      </c>
      <c r="B90" s="59" t="s">
        <v>34</v>
      </c>
      <c r="C90" s="52"/>
      <c r="D90" s="86">
        <f>D89*T90</f>
        <v>31.839808000000033</v>
      </c>
      <c r="E90" s="86">
        <f t="shared" ref="E90:Q90" si="54">E89*U90</f>
        <v>34.220339188842161</v>
      </c>
      <c r="F90" s="86">
        <f t="shared" si="54"/>
        <v>36.803212761893256</v>
      </c>
      <c r="G90" s="86">
        <f t="shared" si="54"/>
        <v>39.607489335140123</v>
      </c>
      <c r="H90" s="86">
        <f t="shared" si="54"/>
        <v>42.654188402684227</v>
      </c>
      <c r="I90" s="86">
        <f t="shared" si="54"/>
        <v>45.966505575644952</v>
      </c>
      <c r="J90" s="86">
        <f t="shared" si="54"/>
        <v>49.570055606384607</v>
      </c>
      <c r="K90" s="86">
        <f t="shared" si="54"/>
        <v>53.493144452954063</v>
      </c>
      <c r="L90" s="86">
        <f t="shared" si="54"/>
        <v>57.767074073365812</v>
      </c>
      <c r="M90" s="86">
        <f t="shared" si="54"/>
        <v>62.426484135172423</v>
      </c>
      <c r="N90" s="86">
        <f t="shared" si="54"/>
        <v>67.50973539190143</v>
      </c>
      <c r="O90" s="86">
        <f t="shared" si="54"/>
        <v>73.059340124599913</v>
      </c>
      <c r="P90" s="86">
        <f t="shared" si="54"/>
        <v>79.122445786129134</v>
      </c>
      <c r="Q90" s="86">
        <f t="shared" si="54"/>
        <v>85.751378831858659</v>
      </c>
      <c r="R90" s="84">
        <f>RATE(12,,-E90,Q90)</f>
        <v>7.9559044282037333E-2</v>
      </c>
      <c r="S90" s="59" t="s">
        <v>34</v>
      </c>
      <c r="T90" s="12">
        <v>0.56000000000000005</v>
      </c>
      <c r="U90" s="12">
        <v>0.56092161367703952</v>
      </c>
      <c r="V90" s="12">
        <v>0.56184474408938223</v>
      </c>
      <c r="W90" s="12">
        <v>0.56276939373317769</v>
      </c>
      <c r="X90" s="12">
        <v>0.56369556510868446</v>
      </c>
      <c r="Y90" s="12">
        <v>0.56462326072027491</v>
      </c>
      <c r="Z90" s="12">
        <v>0.56555248307644368</v>
      </c>
      <c r="AA90" s="12">
        <v>0.56648323468981299</v>
      </c>
      <c r="AB90" s="12">
        <v>0.56741551807714108</v>
      </c>
      <c r="AC90" s="12">
        <v>0.56834933575932756</v>
      </c>
      <c r="AD90" s="12">
        <v>0.56928469026142059</v>
      </c>
      <c r="AE90" s="12">
        <v>0.57022158411262425</v>
      </c>
      <c r="AF90" s="12">
        <v>0.57116001984630527</v>
      </c>
      <c r="AG90" s="12">
        <v>0.57209999999999905</v>
      </c>
    </row>
    <row r="91" spans="1:33" ht="15.75" thickBot="1" x14ac:dyDescent="0.3">
      <c r="A91" s="111"/>
      <c r="B91" s="60" t="s">
        <v>35</v>
      </c>
      <c r="C91" s="53"/>
      <c r="D91" s="87">
        <f>D89*T91</f>
        <v>25.016992000000023</v>
      </c>
      <c r="E91" s="87">
        <f t="shared" ref="E91:Q91" si="55">E89*U91</f>
        <v>26.787007211157899</v>
      </c>
      <c r="F91" s="87">
        <f t="shared" si="55"/>
        <v>28.701026886272505</v>
      </c>
      <c r="G91" s="87">
        <f t="shared" si="55"/>
        <v>30.772118682276282</v>
      </c>
      <c r="H91" s="87">
        <f t="shared" si="55"/>
        <v>33.014649606463848</v>
      </c>
      <c r="I91" s="87">
        <f t="shared" si="55"/>
        <v>35.444425878023289</v>
      </c>
      <c r="J91" s="87">
        <f t="shared" si="55"/>
        <v>38.07884894220421</v>
      </c>
      <c r="K91" s="87">
        <f t="shared" si="55"/>
        <v>40.937089624926621</v>
      </c>
      <c r="L91" s="87">
        <f t="shared" si="55"/>
        <v>44.040282674872223</v>
      </c>
      <c r="M91" s="87">
        <f t="shared" si="55"/>
        <v>47.411744235006331</v>
      </c>
      <c r="N91" s="87">
        <f t="shared" si="55"/>
        <v>51.077215121207153</v>
      </c>
      <c r="O91" s="87">
        <f t="shared" si="55"/>
        <v>55.065133168171819</v>
      </c>
      <c r="P91" s="87">
        <f t="shared" si="55"/>
        <v>59.406938338866816</v>
      </c>
      <c r="Q91" s="87">
        <f t="shared" si="55"/>
        <v>64.137414791386931</v>
      </c>
      <c r="R91" s="85">
        <f>RATE(12,,-E91,Q91)</f>
        <v>7.547157908931526E-2</v>
      </c>
      <c r="S91" s="60" t="s">
        <v>35</v>
      </c>
      <c r="T91" s="12">
        <f>1-T90</f>
        <v>0.43999999999999995</v>
      </c>
      <c r="U91" s="12">
        <f t="shared" ref="U91:AG91" si="56">1-U90</f>
        <v>0.43907838632296048</v>
      </c>
      <c r="V91" s="12">
        <f t="shared" si="56"/>
        <v>0.43815525591061777</v>
      </c>
      <c r="W91" s="12">
        <f t="shared" si="56"/>
        <v>0.43723060626682231</v>
      </c>
      <c r="X91" s="12">
        <f t="shared" si="56"/>
        <v>0.43630443489131554</v>
      </c>
      <c r="Y91" s="12">
        <f t="shared" si="56"/>
        <v>0.43537673927972509</v>
      </c>
      <c r="Z91" s="12">
        <f t="shared" si="56"/>
        <v>0.43444751692355632</v>
      </c>
      <c r="AA91" s="12">
        <f t="shared" si="56"/>
        <v>0.43351676531018701</v>
      </c>
      <c r="AB91" s="12">
        <f t="shared" si="56"/>
        <v>0.43258448192285892</v>
      </c>
      <c r="AC91" s="12">
        <f t="shared" si="56"/>
        <v>0.43165066424067244</v>
      </c>
      <c r="AD91" s="12">
        <f t="shared" si="56"/>
        <v>0.43071530973857941</v>
      </c>
      <c r="AE91" s="12">
        <f t="shared" si="56"/>
        <v>0.42977841588737575</v>
      </c>
      <c r="AF91" s="12">
        <f t="shared" si="56"/>
        <v>0.42883998015369473</v>
      </c>
      <c r="AG91" s="12">
        <f t="shared" si="56"/>
        <v>0.42790000000000095</v>
      </c>
    </row>
    <row r="92" spans="1:33" ht="15.75" thickBot="1" x14ac:dyDescent="0.3">
      <c r="A92" s="1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21"/>
    </row>
    <row r="93" spans="1:33" x14ac:dyDescent="0.25">
      <c r="A93" s="110" t="s">
        <v>15</v>
      </c>
      <c r="B93" s="64" t="s">
        <v>16</v>
      </c>
      <c r="C93" s="54"/>
      <c r="D93" s="89">
        <f>D89*T93</f>
        <v>26.779552800000022</v>
      </c>
      <c r="E93" s="89">
        <f t="shared" ref="E93:Q93" si="57">E89*U93</f>
        <v>28.696917172000024</v>
      </c>
      <c r="F93" s="89">
        <f t="shared" si="57"/>
        <v>30.771876271642174</v>
      </c>
      <c r="G93" s="89">
        <f t="shared" si="57"/>
        <v>33.018863792170968</v>
      </c>
      <c r="H93" s="89">
        <f t="shared" si="57"/>
        <v>35.453760947209297</v>
      </c>
      <c r="I93" s="89">
        <f t="shared" si="57"/>
        <v>38.094053540974144</v>
      </c>
      <c r="J93" s="89">
        <f t="shared" si="57"/>
        <v>40.959007317898234</v>
      </c>
      <c r="K93" s="89">
        <f t="shared" si="57"/>
        <v>44.069863857730923</v>
      </c>
      <c r="L93" s="89">
        <f t="shared" si="57"/>
        <v>47.450059579813406</v>
      </c>
      <c r="M93" s="89">
        <f t="shared" si="57"/>
        <v>51.125470759073202</v>
      </c>
      <c r="N93" s="89">
        <f t="shared" si="57"/>
        <v>55.124687842362704</v>
      </c>
      <c r="O93" s="89">
        <f t="shared" si="57"/>
        <v>59.479322793990569</v>
      </c>
      <c r="P93" s="89">
        <f t="shared" si="57"/>
        <v>64.224353701642343</v>
      </c>
      <c r="Q93" s="89">
        <f t="shared" si="57"/>
        <v>69.398511447562697</v>
      </c>
      <c r="R93" s="76">
        <f>RATE(12,,-E93,Q93)</f>
        <v>7.6365021027947552E-2</v>
      </c>
      <c r="S93" s="64" t="s">
        <v>16</v>
      </c>
      <c r="T93" s="12">
        <v>0.47099999999999992</v>
      </c>
      <c r="U93" s="12">
        <v>0.47038461538461535</v>
      </c>
      <c r="V93" s="12">
        <v>0.46976923076923072</v>
      </c>
      <c r="W93" s="12">
        <v>0.46915384615384609</v>
      </c>
      <c r="X93" s="12">
        <v>0.46853846153846151</v>
      </c>
      <c r="Y93" s="12">
        <v>0.46792307692307689</v>
      </c>
      <c r="Z93" s="12">
        <v>0.46730769230769226</v>
      </c>
      <c r="AA93" s="12">
        <v>0.46669230769230763</v>
      </c>
      <c r="AB93" s="12">
        <v>0.46607692307692306</v>
      </c>
      <c r="AC93" s="12">
        <v>0.46546153846153843</v>
      </c>
      <c r="AD93" s="12">
        <v>0.4648461538461538</v>
      </c>
      <c r="AE93" s="12">
        <v>0.46423076923076922</v>
      </c>
      <c r="AF93" s="12">
        <v>0.4636153846153846</v>
      </c>
      <c r="AG93" s="12">
        <v>0.46299999999999997</v>
      </c>
    </row>
    <row r="94" spans="1:33" ht="15.75" thickBot="1" x14ac:dyDescent="0.3">
      <c r="A94" s="111"/>
      <c r="B94" s="65" t="s">
        <v>17</v>
      </c>
      <c r="C94" s="55"/>
      <c r="D94" s="90">
        <f>D89*T94</f>
        <v>30.077247200000038</v>
      </c>
      <c r="E94" s="90">
        <f t="shared" ref="E94:Q94" si="58">E89*U94</f>
        <v>32.310429228000032</v>
      </c>
      <c r="F94" s="90">
        <f t="shared" si="58"/>
        <v>34.732363376523587</v>
      </c>
      <c r="G94" s="90">
        <f t="shared" si="58"/>
        <v>37.36074422524544</v>
      </c>
      <c r="H94" s="90">
        <f t="shared" si="58"/>
        <v>40.215077061938771</v>
      </c>
      <c r="I94" s="90">
        <f t="shared" si="58"/>
        <v>43.316877912694096</v>
      </c>
      <c r="J94" s="90">
        <f t="shared" si="58"/>
        <v>46.68989723069059</v>
      </c>
      <c r="K94" s="90">
        <f t="shared" si="58"/>
        <v>50.360370220149761</v>
      </c>
      <c r="L94" s="90">
        <f t="shared" si="58"/>
        <v>54.35729716842463</v>
      </c>
      <c r="M94" s="90">
        <f t="shared" si="58"/>
        <v>58.712757611105559</v>
      </c>
      <c r="N94" s="90">
        <f t="shared" si="58"/>
        <v>63.462262670745886</v>
      </c>
      <c r="O94" s="90">
        <f t="shared" si="58"/>
        <v>68.645150498781163</v>
      </c>
      <c r="P94" s="90">
        <f t="shared" si="58"/>
        <v>74.3050304233536</v>
      </c>
      <c r="Q94" s="90">
        <f t="shared" si="58"/>
        <v>80.490282175682893</v>
      </c>
      <c r="R94" s="77">
        <f>RATE(12,,-E94,Q94)</f>
        <v>7.9029687212660779E-2</v>
      </c>
      <c r="S94" s="65" t="s">
        <v>17</v>
      </c>
      <c r="T94" s="12">
        <f>1-T93</f>
        <v>0.52900000000000014</v>
      </c>
      <c r="U94" s="12">
        <f t="shared" ref="U94:AG94" si="59">1-U93</f>
        <v>0.5296153846153846</v>
      </c>
      <c r="V94" s="12">
        <f t="shared" si="59"/>
        <v>0.53023076923076928</v>
      </c>
      <c r="W94" s="12">
        <f t="shared" si="59"/>
        <v>0.53084615384615397</v>
      </c>
      <c r="X94" s="12">
        <f t="shared" si="59"/>
        <v>0.53146153846153843</v>
      </c>
      <c r="Y94" s="12">
        <f t="shared" si="59"/>
        <v>0.53207692307692311</v>
      </c>
      <c r="Z94" s="12">
        <f t="shared" si="59"/>
        <v>0.5326923076923078</v>
      </c>
      <c r="AA94" s="12">
        <f t="shared" si="59"/>
        <v>0.53330769230769237</v>
      </c>
      <c r="AB94" s="12">
        <f t="shared" si="59"/>
        <v>0.53392307692307694</v>
      </c>
      <c r="AC94" s="12">
        <f t="shared" si="59"/>
        <v>0.53453846153846163</v>
      </c>
      <c r="AD94" s="12">
        <f t="shared" si="59"/>
        <v>0.5351538461538462</v>
      </c>
      <c r="AE94" s="12">
        <f t="shared" si="59"/>
        <v>0.53576923076923078</v>
      </c>
      <c r="AF94" s="12">
        <f t="shared" si="59"/>
        <v>0.53638461538461546</v>
      </c>
      <c r="AG94" s="12">
        <f t="shared" si="59"/>
        <v>0.53700000000000003</v>
      </c>
    </row>
    <row r="95" spans="1:33" ht="15.75" thickBot="1" x14ac:dyDescent="0.3">
      <c r="A95" s="1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21"/>
    </row>
    <row r="96" spans="1:33" x14ac:dyDescent="0.25">
      <c r="A96" s="110" t="s">
        <v>18</v>
      </c>
      <c r="B96" s="61" t="s">
        <v>19</v>
      </c>
      <c r="C96" s="56"/>
      <c r="D96" s="91">
        <f>D89*T96</f>
        <v>22.799576800000022</v>
      </c>
      <c r="E96" s="91">
        <f t="shared" ref="E96:Q96" si="60">E89*U96</f>
        <v>24.564663259814115</v>
      </c>
      <c r="F96" s="91">
        <f t="shared" si="60"/>
        <v>26.483927910396012</v>
      </c>
      <c r="G96" s="91">
        <f t="shared" si="60"/>
        <v>28.572230048005213</v>
      </c>
      <c r="H96" s="91">
        <f t="shared" si="60"/>
        <v>30.845986675736619</v>
      </c>
      <c r="I96" s="91">
        <f t="shared" si="60"/>
        <v>33.323348324538507</v>
      </c>
      <c r="J96" s="91">
        <f t="shared" si="60"/>
        <v>36.024396078216348</v>
      </c>
      <c r="K96" s="91">
        <f t="shared" si="60"/>
        <v>38.971362518236994</v>
      </c>
      <c r="L96" s="91">
        <f t="shared" si="60"/>
        <v>42.188879671758954</v>
      </c>
      <c r="M96" s="91">
        <f t="shared" si="60"/>
        <v>45.704257466300717</v>
      </c>
      <c r="N96" s="91">
        <f t="shared" si="60"/>
        <v>49.547796674645859</v>
      </c>
      <c r="O96" s="91">
        <f t="shared" si="60"/>
        <v>53.753140883022695</v>
      </c>
      <c r="P96" s="91">
        <f t="shared" si="60"/>
        <v>58.357672644759411</v>
      </c>
      <c r="Q96" s="91">
        <f t="shared" si="60"/>
        <v>63.402959702632792</v>
      </c>
      <c r="R96" s="78">
        <f>RATE(12,,-E96,Q96)</f>
        <v>8.2222501989687335E-2</v>
      </c>
      <c r="S96" s="61" t="s">
        <v>19</v>
      </c>
      <c r="T96" s="12">
        <v>0.40099999999999997</v>
      </c>
      <c r="U96" s="12">
        <v>0.40265090533119946</v>
      </c>
      <c r="V96" s="12">
        <v>0.40430860739160734</v>
      </c>
      <c r="W96" s="12">
        <v>0.40597313416316017</v>
      </c>
      <c r="X96" s="12">
        <v>0.40764451374299493</v>
      </c>
      <c r="Y96" s="12">
        <v>0.40932277434392395</v>
      </c>
      <c r="Z96" s="12">
        <v>0.41100794429491083</v>
      </c>
      <c r="AA96" s="12">
        <v>0.4127000520415488</v>
      </c>
      <c r="AB96" s="12">
        <v>0.41439912614654062</v>
      </c>
      <c r="AC96" s="12">
        <v>0.41610519529018092</v>
      </c>
      <c r="AD96" s="12">
        <v>0.41781828827084017</v>
      </c>
      <c r="AE96" s="12">
        <v>0.4195384340054511</v>
      </c>
      <c r="AF96" s="12">
        <v>0.4212656615299965</v>
      </c>
      <c r="AG96" s="12">
        <v>0.42299999999999938</v>
      </c>
    </row>
    <row r="97" spans="1:33" ht="15.75" thickBot="1" x14ac:dyDescent="0.3">
      <c r="A97" s="111"/>
      <c r="B97" s="63" t="s">
        <v>20</v>
      </c>
      <c r="C97" s="51"/>
      <c r="D97" s="92">
        <f>D89*T97</f>
        <v>34.057223200000031</v>
      </c>
      <c r="E97" s="92">
        <f t="shared" ref="E97:Q97" si="61">E89*U97</f>
        <v>36.442683140185942</v>
      </c>
      <c r="F97" s="92">
        <f t="shared" si="61"/>
        <v>39.020311737769752</v>
      </c>
      <c r="G97" s="92">
        <f t="shared" si="61"/>
        <v>41.807377969411192</v>
      </c>
      <c r="H97" s="92">
        <f t="shared" si="61"/>
        <v>44.822851333411457</v>
      </c>
      <c r="I97" s="92">
        <f t="shared" si="61"/>
        <v>48.087583129129733</v>
      </c>
      <c r="J97" s="92">
        <f t="shared" si="61"/>
        <v>51.624508470372469</v>
      </c>
      <c r="K97" s="92">
        <f t="shared" si="61"/>
        <v>55.45887155964369</v>
      </c>
      <c r="L97" s="92">
        <f t="shared" si="61"/>
        <v>59.618477076479081</v>
      </c>
      <c r="M97" s="92">
        <f t="shared" si="61"/>
        <v>64.133970903878037</v>
      </c>
      <c r="N97" s="92">
        <f t="shared" si="61"/>
        <v>69.039153838462738</v>
      </c>
      <c r="O97" s="92">
        <f t="shared" si="61"/>
        <v>74.371332409749044</v>
      </c>
      <c r="P97" s="92">
        <f t="shared" si="61"/>
        <v>80.171711480236524</v>
      </c>
      <c r="Q97" s="92">
        <f t="shared" si="61"/>
        <v>86.485833920612805</v>
      </c>
      <c r="R97" s="79">
        <f>RATE(12,,-E97,Q97)</f>
        <v>7.4676831064464544E-2</v>
      </c>
      <c r="S97" s="63" t="s">
        <v>20</v>
      </c>
      <c r="T97" s="12">
        <f>1-T96</f>
        <v>0.59899999999999998</v>
      </c>
      <c r="U97" s="12">
        <f t="shared" ref="U97:AG97" si="62">1-U96</f>
        <v>0.59734909466880048</v>
      </c>
      <c r="V97" s="12">
        <f t="shared" si="62"/>
        <v>0.59569139260839266</v>
      </c>
      <c r="W97" s="12">
        <f t="shared" si="62"/>
        <v>0.59402686583683983</v>
      </c>
      <c r="X97" s="12">
        <f t="shared" si="62"/>
        <v>0.59235548625700507</v>
      </c>
      <c r="Y97" s="12">
        <f t="shared" si="62"/>
        <v>0.59067722565607605</v>
      </c>
      <c r="Z97" s="12">
        <f t="shared" si="62"/>
        <v>0.58899205570508917</v>
      </c>
      <c r="AA97" s="12">
        <f t="shared" si="62"/>
        <v>0.5872999479584512</v>
      </c>
      <c r="AB97" s="12">
        <f t="shared" si="62"/>
        <v>0.58560087385345938</v>
      </c>
      <c r="AC97" s="12">
        <f t="shared" si="62"/>
        <v>0.58389480470981914</v>
      </c>
      <c r="AD97" s="12">
        <f t="shared" si="62"/>
        <v>0.58218171172915989</v>
      </c>
      <c r="AE97" s="12">
        <f t="shared" si="62"/>
        <v>0.5804615659945489</v>
      </c>
      <c r="AF97" s="12">
        <f t="shared" si="62"/>
        <v>0.57873433847000344</v>
      </c>
      <c r="AG97" s="12">
        <f t="shared" si="62"/>
        <v>0.57700000000000062</v>
      </c>
    </row>
    <row r="98" spans="1:33" ht="15.75" thickBot="1" x14ac:dyDescent="0.3">
      <c r="A98" s="2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21"/>
    </row>
    <row r="99" spans="1:33" x14ac:dyDescent="0.25">
      <c r="A99" s="110" t="s">
        <v>14</v>
      </c>
      <c r="B99" s="66" t="s">
        <v>21</v>
      </c>
      <c r="C99" s="57"/>
      <c r="D99" s="93">
        <f>D89*T99</f>
        <v>14.214200000000014</v>
      </c>
      <c r="E99" s="93">
        <f t="shared" ref="E99:Q99" si="63">E89*U99</f>
        <v>15.346760089501279</v>
      </c>
      <c r="F99" s="93">
        <f t="shared" si="63"/>
        <v>16.58053496778323</v>
      </c>
      <c r="G99" s="93">
        <f t="shared" si="63"/>
        <v>17.925469228695764</v>
      </c>
      <c r="H99" s="93">
        <f t="shared" si="63"/>
        <v>19.392567609509122</v>
      </c>
      <c r="I99" s="93">
        <f t="shared" si="63"/>
        <v>20.994016452845337</v>
      </c>
      <c r="J99" s="93">
        <f t="shared" si="63"/>
        <v>22.743320016208131</v>
      </c>
      <c r="K99" s="93">
        <f t="shared" si="63"/>
        <v>24.655453554459569</v>
      </c>
      <c r="L99" s="93">
        <f t="shared" si="63"/>
        <v>26.747035364199949</v>
      </c>
      <c r="M99" s="93">
        <f t="shared" si="63"/>
        <v>29.036520280572891</v>
      </c>
      <c r="N99" s="93">
        <f t="shared" si="63"/>
        <v>31.544417462271099</v>
      </c>
      <c r="O99" s="93">
        <f t="shared" si="63"/>
        <v>34.293535696091105</v>
      </c>
      <c r="P99" s="93">
        <f t="shared" si="63"/>
        <v>37.309259905965618</v>
      </c>
      <c r="Q99" s="93">
        <f t="shared" si="63"/>
        <v>40.619863071899573</v>
      </c>
      <c r="R99" s="80">
        <f t="shared" ref="R99:R104" si="64">RATE(12,,-E99,Q99)</f>
        <v>8.4493148431636453E-2</v>
      </c>
      <c r="S99" s="66" t="s">
        <v>21</v>
      </c>
      <c r="T99" s="12">
        <v>0.25</v>
      </c>
      <c r="U99" s="12">
        <v>0.25155593539307364</v>
      </c>
      <c r="V99" s="12">
        <v>0.25312155452593693</v>
      </c>
      <c r="W99" s="12">
        <v>0.25469691766768382</v>
      </c>
      <c r="X99" s="12">
        <v>0.25628208546250747</v>
      </c>
      <c r="Y99" s="12">
        <v>0.2578771189320348</v>
      </c>
      <c r="Z99" s="12">
        <v>0.25948207947767565</v>
      </c>
      <c r="AA99" s="12">
        <v>0.2610970288829863</v>
      </c>
      <c r="AB99" s="12">
        <v>0.26272202931604799</v>
      </c>
      <c r="AC99" s="12">
        <v>0.26435714333185978</v>
      </c>
      <c r="AD99" s="12">
        <v>0.26600243387474731</v>
      </c>
      <c r="AE99" s="12">
        <v>0.26765796428078514</v>
      </c>
      <c r="AF99" s="12">
        <v>0.26932379828023517</v>
      </c>
      <c r="AG99" s="12">
        <v>0.27100000000000013</v>
      </c>
    </row>
    <row r="100" spans="1:33" x14ac:dyDescent="0.25">
      <c r="A100" s="112"/>
      <c r="B100" s="67" t="s">
        <v>22</v>
      </c>
      <c r="C100" s="48"/>
      <c r="D100" s="94">
        <f>D89*T100</f>
        <v>21.605584000000022</v>
      </c>
      <c r="E100" s="94">
        <f t="shared" ref="E100:Q100" si="65">E89*U100</f>
        <v>23.238301568620265</v>
      </c>
      <c r="F100" s="94">
        <f t="shared" si="65"/>
        <v>25.010957003192644</v>
      </c>
      <c r="G100" s="94">
        <f t="shared" si="65"/>
        <v>26.936824391672069</v>
      </c>
      <c r="H100" s="94">
        <f t="shared" si="65"/>
        <v>29.030550261391262</v>
      </c>
      <c r="I100" s="94">
        <f t="shared" si="65"/>
        <v>31.30830659868391</v>
      </c>
      <c r="J100" s="94">
        <f t="shared" si="65"/>
        <v>33.787962119189359</v>
      </c>
      <c r="K100" s="94">
        <f t="shared" si="65"/>
        <v>36.48927410282117</v>
      </c>
      <c r="L100" s="94">
        <f t="shared" si="65"/>
        <v>39.434103417685762</v>
      </c>
      <c r="M100" s="94">
        <f t="shared" si="65"/>
        <v>42.646655711366904</v>
      </c>
      <c r="N100" s="94">
        <f t="shared" si="65"/>
        <v>46.153752152445612</v>
      </c>
      <c r="O100" s="94">
        <f t="shared" si="65"/>
        <v>49.985133567405128</v>
      </c>
      <c r="P100" s="94">
        <f t="shared" si="65"/>
        <v>54.173802346852938</v>
      </c>
      <c r="Q100" s="94">
        <f t="shared" si="65"/>
        <v>58.756407100312273</v>
      </c>
      <c r="R100" s="81">
        <f t="shared" si="64"/>
        <v>8.0365989705478133E-2</v>
      </c>
      <c r="S100" s="67" t="s">
        <v>22</v>
      </c>
      <c r="T100" s="12">
        <v>0.38</v>
      </c>
      <c r="U100" s="12">
        <v>0.38090988938047371</v>
      </c>
      <c r="V100" s="12">
        <v>0.38182195744169661</v>
      </c>
      <c r="W100" s="12">
        <v>0.38273620940040159</v>
      </c>
      <c r="X100" s="12">
        <v>0.38365265048581265</v>
      </c>
      <c r="Y100" s="12">
        <v>0.38457128593967477</v>
      </c>
      <c r="Z100" s="12">
        <v>0.38549212101628438</v>
      </c>
      <c r="AA100" s="12">
        <v>0.38641516098251855</v>
      </c>
      <c r="AB100" s="12">
        <v>0.38734041111786593</v>
      </c>
      <c r="AC100" s="12">
        <v>0.38826787671445667</v>
      </c>
      <c r="AD100" s="12">
        <v>0.38919756307709236</v>
      </c>
      <c r="AE100" s="12">
        <v>0.39012947552327681</v>
      </c>
      <c r="AF100" s="12">
        <v>0.3910636193832463</v>
      </c>
      <c r="AG100" s="12">
        <v>0.39200000000000002</v>
      </c>
    </row>
    <row r="101" spans="1:33" x14ac:dyDescent="0.25">
      <c r="A101" s="112"/>
      <c r="B101" s="68" t="s">
        <v>23</v>
      </c>
      <c r="C101" s="48"/>
      <c r="D101" s="95">
        <f>D100*T101</f>
        <v>7.5619544000000047</v>
      </c>
      <c r="E101" s="95">
        <f t="shared" ref="E101:Q101" si="66">E100*U101</f>
        <v>8.1191345332287046</v>
      </c>
      <c r="F101" s="95">
        <f t="shared" si="66"/>
        <v>8.7231426372353411</v>
      </c>
      <c r="G101" s="95">
        <f t="shared" si="66"/>
        <v>9.3783485476708268</v>
      </c>
      <c r="H101" s="95">
        <f t="shared" si="66"/>
        <v>10.089567544800087</v>
      </c>
      <c r="I101" s="95">
        <f t="shared" si="66"/>
        <v>10.862109397142913</v>
      </c>
      <c r="J101" s="95">
        <f t="shared" si="66"/>
        <v>11.701833188532895</v>
      </c>
      <c r="K101" s="95">
        <f t="shared" si="66"/>
        <v>12.615208654302782</v>
      </c>
      <c r="L101" s="95">
        <f t="shared" si="66"/>
        <v>13.609384848695401</v>
      </c>
      <c r="M101" s="95">
        <f t="shared" si="66"/>
        <v>14.692267075483304</v>
      </c>
      <c r="N101" s="95">
        <f t="shared" si="66"/>
        <v>15.872603139141592</v>
      </c>
      <c r="O101" s="95">
        <f t="shared" si="66"/>
        <v>17.16008011704562</v>
      </c>
      <c r="P101" s="95">
        <f t="shared" si="66"/>
        <v>18.565433016701423</v>
      </c>
      <c r="Q101" s="95">
        <f t="shared" si="66"/>
        <v>20.100566869016816</v>
      </c>
      <c r="R101" s="81">
        <f t="shared" si="64"/>
        <v>7.8470360623279833E-2</v>
      </c>
      <c r="S101" s="68" t="s">
        <v>23</v>
      </c>
      <c r="T101" s="74">
        <v>0.34999999999999987</v>
      </c>
      <c r="U101" s="74">
        <v>0.34938588387166564</v>
      </c>
      <c r="V101" s="74">
        <v>0.34877284528224306</v>
      </c>
      <c r="W101" s="74">
        <v>0.34816088234106346</v>
      </c>
      <c r="X101" s="74">
        <v>0.34754999316077562</v>
      </c>
      <c r="Y101" s="74">
        <v>0.34694017585733994</v>
      </c>
      <c r="Z101" s="74">
        <v>0.34633142855002247</v>
      </c>
      <c r="AA101" s="74">
        <v>0.34572374936138933</v>
      </c>
      <c r="AB101" s="74">
        <v>0.34511713641730069</v>
      </c>
      <c r="AC101" s="74">
        <v>0.34451158784690528</v>
      </c>
      <c r="AD101" s="74">
        <v>0.34390710178263434</v>
      </c>
      <c r="AE101" s="74">
        <v>0.34330367636019604</v>
      </c>
      <c r="AF101" s="74">
        <v>0.34270130971856966</v>
      </c>
      <c r="AG101" s="74">
        <v>0.34209999999999979</v>
      </c>
    </row>
    <row r="102" spans="1:33" x14ac:dyDescent="0.25">
      <c r="A102" s="112"/>
      <c r="B102" s="68" t="s">
        <v>24</v>
      </c>
      <c r="C102" s="48"/>
      <c r="D102" s="95">
        <f>D100*T102</f>
        <v>6.0495635200000066</v>
      </c>
      <c r="E102" s="95">
        <f t="shared" ref="E102:Q102" si="67">E100*U102</f>
        <v>6.5294791123355322</v>
      </c>
      <c r="F102" s="95">
        <f t="shared" si="67"/>
        <v>7.0521344796104524</v>
      </c>
      <c r="G102" s="95">
        <f t="shared" si="67"/>
        <v>7.621716543447639</v>
      </c>
      <c r="H102" s="95">
        <f t="shared" si="67"/>
        <v>8.2428574256431126</v>
      </c>
      <c r="I102" s="95">
        <f t="shared" si="67"/>
        <v>8.9206853385187692</v>
      </c>
      <c r="J102" s="95">
        <f t="shared" si="67"/>
        <v>9.6608816832620423</v>
      </c>
      <c r="K102" s="95">
        <f t="shared" si="67"/>
        <v>10.469745159740498</v>
      </c>
      <c r="L102" s="95">
        <f t="shared" si="67"/>
        <v>11.354263801095737</v>
      </c>
      <c r="M102" s="95">
        <f t="shared" si="67"/>
        <v>12.322195972024193</v>
      </c>
      <c r="N102" s="95">
        <f t="shared" si="67"/>
        <v>13.382161513422277</v>
      </c>
      <c r="O102" s="95">
        <f t="shared" si="67"/>
        <v>14.543744380763254</v>
      </c>
      <c r="P102" s="95">
        <f t="shared" si="67"/>
        <v>15.817608312374137</v>
      </c>
      <c r="Q102" s="95">
        <f t="shared" si="67"/>
        <v>17.215627280391477</v>
      </c>
      <c r="R102" s="81">
        <f t="shared" si="64"/>
        <v>8.4144138784523689E-2</v>
      </c>
      <c r="S102" s="68" t="s">
        <v>24</v>
      </c>
      <c r="T102" s="74">
        <v>0.28000000000000003</v>
      </c>
      <c r="U102" s="74">
        <v>0.28097918830490543</v>
      </c>
      <c r="V102" s="74">
        <v>0.28196180093029821</v>
      </c>
      <c r="W102" s="74">
        <v>0.28294784985137333</v>
      </c>
      <c r="X102" s="74">
        <v>0.28393734708520407</v>
      </c>
      <c r="Y102" s="74">
        <v>0.28493030469088876</v>
      </c>
      <c r="Z102" s="74">
        <v>0.28592673476969749</v>
      </c>
      <c r="AA102" s="74">
        <v>0.28692664946521995</v>
      </c>
      <c r="AB102" s="74">
        <v>0.28793006096351298</v>
      </c>
      <c r="AC102" s="74">
        <v>0.28893698149324931</v>
      </c>
      <c r="AD102" s="74">
        <v>0.28994742332586665</v>
      </c>
      <c r="AE102" s="74">
        <v>0.29096139877571725</v>
      </c>
      <c r="AF102" s="74">
        <v>0.29197892020021765</v>
      </c>
      <c r="AG102" s="74">
        <v>0.29299999999999965</v>
      </c>
    </row>
    <row r="103" spans="1:33" x14ac:dyDescent="0.25">
      <c r="A103" s="112"/>
      <c r="B103" s="68" t="s">
        <v>25</v>
      </c>
      <c r="C103" s="48"/>
      <c r="D103" s="95">
        <f>D100*T103</f>
        <v>7.9940660800000103</v>
      </c>
      <c r="E103" s="95">
        <f t="shared" ref="E103:Q103" si="68">E100*U103</f>
        <v>8.5896879230560277</v>
      </c>
      <c r="F103" s="95">
        <f t="shared" si="68"/>
        <v>9.2356798863468494</v>
      </c>
      <c r="G103" s="95">
        <f t="shared" si="68"/>
        <v>9.9367593005536019</v>
      </c>
      <c r="H103" s="95">
        <f t="shared" si="68"/>
        <v>10.698125290948061</v>
      </c>
      <c r="I103" s="95">
        <f t="shared" si="68"/>
        <v>11.525511863022228</v>
      </c>
      <c r="J103" s="95">
        <f t="shared" si="68"/>
        <v>12.425247247394422</v>
      </c>
      <c r="K103" s="95">
        <f t="shared" si="68"/>
        <v>13.404320288777893</v>
      </c>
      <c r="L103" s="95">
        <f t="shared" si="68"/>
        <v>14.470454767894626</v>
      </c>
      <c r="M103" s="95">
        <f t="shared" si="68"/>
        <v>15.632192663859406</v>
      </c>
      <c r="N103" s="95">
        <f t="shared" si="68"/>
        <v>16.898987499881741</v>
      </c>
      <c r="O103" s="95">
        <f t="shared" si="68"/>
        <v>18.281309069596251</v>
      </c>
      <c r="P103" s="95">
        <f t="shared" si="68"/>
        <v>19.790761017777378</v>
      </c>
      <c r="Q103" s="95">
        <f t="shared" si="68"/>
        <v>21.44021295090398</v>
      </c>
      <c r="R103" s="81">
        <f t="shared" si="64"/>
        <v>7.920589537573286E-2</v>
      </c>
      <c r="S103" s="68" t="s">
        <v>25</v>
      </c>
      <c r="T103" s="74">
        <f>1-SUM(T101:T102)</f>
        <v>0.37000000000000011</v>
      </c>
      <c r="U103" s="74">
        <f t="shared" ref="U103:AG103" si="69">1-SUM(U101:U102)</f>
        <v>0.36963492782342899</v>
      </c>
      <c r="V103" s="74">
        <f t="shared" si="69"/>
        <v>0.36926535378745873</v>
      </c>
      <c r="W103" s="74">
        <f t="shared" si="69"/>
        <v>0.36889126780756321</v>
      </c>
      <c r="X103" s="74">
        <f t="shared" si="69"/>
        <v>0.36851265975402026</v>
      </c>
      <c r="Y103" s="74">
        <f t="shared" si="69"/>
        <v>0.3681295194517713</v>
      </c>
      <c r="Z103" s="74">
        <f t="shared" si="69"/>
        <v>0.36774183668028004</v>
      </c>
      <c r="AA103" s="74">
        <f t="shared" si="69"/>
        <v>0.36734960117339077</v>
      </c>
      <c r="AB103" s="74">
        <f t="shared" si="69"/>
        <v>0.36695280261918639</v>
      </c>
      <c r="AC103" s="74">
        <f t="shared" si="69"/>
        <v>0.36655143065984541</v>
      </c>
      <c r="AD103" s="74">
        <f t="shared" si="69"/>
        <v>0.36614547489149896</v>
      </c>
      <c r="AE103" s="74">
        <f t="shared" si="69"/>
        <v>0.36573492486408665</v>
      </c>
      <c r="AF103" s="74">
        <f t="shared" si="69"/>
        <v>0.36531977008121275</v>
      </c>
      <c r="AG103" s="74">
        <f t="shared" si="69"/>
        <v>0.36490000000000056</v>
      </c>
    </row>
    <row r="104" spans="1:33" ht="15.75" thickBot="1" x14ac:dyDescent="0.3">
      <c r="A104" s="111"/>
      <c r="B104" s="69" t="s">
        <v>26</v>
      </c>
      <c r="C104" s="58"/>
      <c r="D104" s="96">
        <f>D89*T104</f>
        <v>21.037016000000019</v>
      </c>
      <c r="E104" s="96">
        <f t="shared" ref="E104:Q104" si="70">E89*U104</f>
        <v>22.422284741878521</v>
      </c>
      <c r="F104" s="96">
        <f t="shared" si="70"/>
        <v>23.912747677189891</v>
      </c>
      <c r="G104" s="96">
        <f t="shared" si="70"/>
        <v>25.517314397048569</v>
      </c>
      <c r="H104" s="96">
        <f t="shared" si="70"/>
        <v>27.245720138247698</v>
      </c>
      <c r="I104" s="96">
        <f t="shared" si="70"/>
        <v>29.108608402138987</v>
      </c>
      <c r="J104" s="96">
        <f t="shared" si="70"/>
        <v>31.117622413191327</v>
      </c>
      <c r="K104" s="96">
        <f t="shared" si="70"/>
        <v>33.285506420599937</v>
      </c>
      <c r="L104" s="96">
        <f t="shared" si="70"/>
        <v>35.626217966352321</v>
      </c>
      <c r="M104" s="96">
        <f t="shared" si="70"/>
        <v>38.155052378238963</v>
      </c>
      <c r="N104" s="96">
        <f t="shared" si="70"/>
        <v>40.888780898391886</v>
      </c>
      <c r="O104" s="96">
        <f t="shared" si="70"/>
        <v>43.845804029275506</v>
      </c>
      <c r="P104" s="96">
        <f t="shared" si="70"/>
        <v>47.046321872177394</v>
      </c>
      <c r="Q104" s="96">
        <f t="shared" si="70"/>
        <v>50.512523451033744</v>
      </c>
      <c r="R104" s="82">
        <f t="shared" si="64"/>
        <v>7.0023379233386362E-2</v>
      </c>
      <c r="S104" s="69" t="s">
        <v>26</v>
      </c>
      <c r="T104" s="12">
        <f>1-SUM(T99+T100)</f>
        <v>0.37</v>
      </c>
      <c r="U104" s="12">
        <f t="shared" ref="U104:AG104" si="71">1-SUM(U99+U100)</f>
        <v>0.36753417522645271</v>
      </c>
      <c r="V104" s="12">
        <f t="shared" si="71"/>
        <v>0.36505648803236646</v>
      </c>
      <c r="W104" s="12">
        <f t="shared" si="71"/>
        <v>0.36256687293191459</v>
      </c>
      <c r="X104" s="12">
        <f t="shared" si="71"/>
        <v>0.36006526405167993</v>
      </c>
      <c r="Y104" s="12">
        <f t="shared" si="71"/>
        <v>0.35755159512829038</v>
      </c>
      <c r="Z104" s="12">
        <f t="shared" si="71"/>
        <v>0.35502579950603996</v>
      </c>
      <c r="AA104" s="12">
        <f t="shared" si="71"/>
        <v>0.35248781013449515</v>
      </c>
      <c r="AB104" s="12">
        <f t="shared" si="71"/>
        <v>0.34993755956608608</v>
      </c>
      <c r="AC104" s="12">
        <f t="shared" si="71"/>
        <v>0.3473749799536836</v>
      </c>
      <c r="AD104" s="12">
        <f t="shared" si="71"/>
        <v>0.34480000304816039</v>
      </c>
      <c r="AE104" s="12">
        <f t="shared" si="71"/>
        <v>0.34221256019593804</v>
      </c>
      <c r="AF104" s="12">
        <f t="shared" si="71"/>
        <v>0.33961258233651859</v>
      </c>
      <c r="AG104" s="12">
        <f t="shared" si="71"/>
        <v>0.33699999999999986</v>
      </c>
    </row>
    <row r="105" spans="1:33" ht="15.75" thickBot="1" x14ac:dyDescent="0.3">
      <c r="A105" s="2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21"/>
    </row>
    <row r="106" spans="1:33" x14ac:dyDescent="0.25">
      <c r="A106" s="113" t="s">
        <v>27</v>
      </c>
      <c r="B106" s="61" t="s">
        <v>28</v>
      </c>
      <c r="C106" s="56"/>
      <c r="D106" s="91">
        <f>D89*T106</f>
        <v>22.799576800000022</v>
      </c>
      <c r="E106" s="91">
        <f t="shared" ref="E106:Q106" si="72">E89*U106</f>
        <v>24.564663259814115</v>
      </c>
      <c r="F106" s="91">
        <f t="shared" si="72"/>
        <v>26.483927910396012</v>
      </c>
      <c r="G106" s="91">
        <f t="shared" si="72"/>
        <v>28.572230048005213</v>
      </c>
      <c r="H106" s="91">
        <f t="shared" si="72"/>
        <v>30.845986675736619</v>
      </c>
      <c r="I106" s="91">
        <f t="shared" si="72"/>
        <v>33.323348324538507</v>
      </c>
      <c r="J106" s="91">
        <f t="shared" si="72"/>
        <v>36.024396078216348</v>
      </c>
      <c r="K106" s="91">
        <f t="shared" si="72"/>
        <v>38.971362518236994</v>
      </c>
      <c r="L106" s="91">
        <f t="shared" si="72"/>
        <v>42.188879671758954</v>
      </c>
      <c r="M106" s="91">
        <f t="shared" si="72"/>
        <v>45.704257466300717</v>
      </c>
      <c r="N106" s="91">
        <f t="shared" si="72"/>
        <v>49.547796674645859</v>
      </c>
      <c r="O106" s="91">
        <f t="shared" si="72"/>
        <v>53.753140883022695</v>
      </c>
      <c r="P106" s="91">
        <f t="shared" si="72"/>
        <v>58.357672644759411</v>
      </c>
      <c r="Q106" s="91">
        <f t="shared" si="72"/>
        <v>63.402959702632792</v>
      </c>
      <c r="R106" s="78">
        <f>RATE(12,,-E106,Q106)</f>
        <v>8.2222501989687335E-2</v>
      </c>
      <c r="S106" s="61" t="s">
        <v>28</v>
      </c>
      <c r="T106" s="12">
        <v>0.40099999999999997</v>
      </c>
      <c r="U106" s="12">
        <v>0.40265090533119946</v>
      </c>
      <c r="V106" s="12">
        <v>0.40430860739160734</v>
      </c>
      <c r="W106" s="12">
        <v>0.40597313416316017</v>
      </c>
      <c r="X106" s="12">
        <v>0.40764451374299493</v>
      </c>
      <c r="Y106" s="12">
        <v>0.40932277434392395</v>
      </c>
      <c r="Z106" s="12">
        <v>0.41100794429491083</v>
      </c>
      <c r="AA106" s="12">
        <v>0.4127000520415488</v>
      </c>
      <c r="AB106" s="12">
        <v>0.41439912614654062</v>
      </c>
      <c r="AC106" s="12">
        <v>0.41610519529018092</v>
      </c>
      <c r="AD106" s="12">
        <v>0.41781828827084017</v>
      </c>
      <c r="AE106" s="12">
        <v>0.4195384340054511</v>
      </c>
      <c r="AF106" s="12">
        <v>0.4212656615299965</v>
      </c>
      <c r="AG106" s="12">
        <v>0.42299999999999938</v>
      </c>
    </row>
    <row r="107" spans="1:33" x14ac:dyDescent="0.25">
      <c r="A107" s="114"/>
      <c r="B107" s="62" t="s">
        <v>29</v>
      </c>
      <c r="C107" s="47"/>
      <c r="D107" s="97">
        <f>D89*T107</f>
        <v>24.505280800000023</v>
      </c>
      <c r="E107" s="97">
        <f t="shared" ref="E107:Q107" si="73">E89*U107</f>
        <v>26.3451895938374</v>
      </c>
      <c r="F107" s="97">
        <f t="shared" si="73"/>
        <v>28.342002111012651</v>
      </c>
      <c r="G107" s="97">
        <f t="shared" si="73"/>
        <v>30.510539205008371</v>
      </c>
      <c r="H107" s="97">
        <f t="shared" si="73"/>
        <v>32.867148504382442</v>
      </c>
      <c r="I107" s="97">
        <f t="shared" si="73"/>
        <v>35.429874088802279</v>
      </c>
      <c r="J107" s="97">
        <f t="shared" si="73"/>
        <v>38.218646343225963</v>
      </c>
      <c r="K107" s="97">
        <f t="shared" si="73"/>
        <v>41.255494541760299</v>
      </c>
      <c r="L107" s="97">
        <f t="shared" si="73"/>
        <v>44.564785054041579</v>
      </c>
      <c r="M107" s="97">
        <f t="shared" si="73"/>
        <v>48.173488456396086</v>
      </c>
      <c r="N107" s="97">
        <f t="shared" si="73"/>
        <v>52.111479274659125</v>
      </c>
      <c r="O107" s="97">
        <f t="shared" si="73"/>
        <v>56.411872593578899</v>
      </c>
      <c r="P107" s="97">
        <f t="shared" si="73"/>
        <v>61.111402348698093</v>
      </c>
      <c r="Q107" s="97">
        <f t="shared" si="73"/>
        <v>66.250846781474593</v>
      </c>
      <c r="R107" s="83">
        <f>RATE(12,,-E107,Q107)</f>
        <v>7.987671176666708E-2</v>
      </c>
      <c r="S107" s="62" t="s">
        <v>29</v>
      </c>
      <c r="T107" s="12">
        <v>0.43099999999999999</v>
      </c>
      <c r="U107" s="12">
        <v>0.43183634674261745</v>
      </c>
      <c r="V107" s="12">
        <v>0.43267431639909548</v>
      </c>
      <c r="W107" s="12">
        <v>0.43351391211866536</v>
      </c>
      <c r="X107" s="12">
        <v>0.43435513705666956</v>
      </c>
      <c r="Y107" s="12">
        <v>0.43519799437457324</v>
      </c>
      <c r="Z107" s="12">
        <v>0.43604248723997657</v>
      </c>
      <c r="AA107" s="12">
        <v>0.43688861882662616</v>
      </c>
      <c r="AB107" s="12">
        <v>0.43773639231442729</v>
      </c>
      <c r="AC107" s="12">
        <v>0.43858581088945586</v>
      </c>
      <c r="AD107" s="12">
        <v>0.43943687774397006</v>
      </c>
      <c r="AE107" s="12">
        <v>0.44028959607642287</v>
      </c>
      <c r="AF107" s="12">
        <v>0.44114396909147369</v>
      </c>
      <c r="AG107" s="12">
        <v>0.44200000000000028</v>
      </c>
    </row>
    <row r="108" spans="1:33" ht="15.75" thickBot="1" x14ac:dyDescent="0.3">
      <c r="A108" s="115"/>
      <c r="B108" s="63" t="s">
        <v>30</v>
      </c>
      <c r="C108" s="51"/>
      <c r="D108" s="92">
        <f>D89*T108</f>
        <v>9.5519424000000122</v>
      </c>
      <c r="E108" s="92">
        <f t="shared" ref="E108:Q108" si="74">E89*U108</f>
        <v>10.097493546348543</v>
      </c>
      <c r="F108" s="92">
        <f t="shared" si="74"/>
        <v>10.678309626757104</v>
      </c>
      <c r="G108" s="92">
        <f t="shared" si="74"/>
        <v>11.296838764402816</v>
      </c>
      <c r="H108" s="92">
        <f t="shared" si="74"/>
        <v>11.955702829029011</v>
      </c>
      <c r="I108" s="92">
        <f t="shared" si="74"/>
        <v>12.657709040327452</v>
      </c>
      <c r="J108" s="92">
        <f t="shared" si="74"/>
        <v>13.405862127146499</v>
      </c>
      <c r="K108" s="92">
        <f t="shared" si="74"/>
        <v>14.203377017883387</v>
      </c>
      <c r="L108" s="92">
        <f t="shared" si="74"/>
        <v>15.053692022437497</v>
      </c>
      <c r="M108" s="92">
        <f t="shared" si="74"/>
        <v>15.960482447481949</v>
      </c>
      <c r="N108" s="92">
        <f t="shared" si="74"/>
        <v>16.927674563803603</v>
      </c>
      <c r="O108" s="92">
        <f t="shared" si="74"/>
        <v>17.959459816170149</v>
      </c>
      <c r="P108" s="92">
        <f t="shared" si="74"/>
        <v>19.060309131538443</v>
      </c>
      <c r="Q108" s="92">
        <f t="shared" si="74"/>
        <v>20.234987139138205</v>
      </c>
      <c r="R108" s="79">
        <f>RATE(12,,-E108,Q108)</f>
        <v>5.9637808301107473E-2</v>
      </c>
      <c r="S108" s="63" t="s">
        <v>30</v>
      </c>
      <c r="T108" s="12">
        <f>1-SUM(T106:T107)</f>
        <v>0.16800000000000004</v>
      </c>
      <c r="U108" s="12">
        <f t="shared" ref="U108:AG108" si="75">1-SUM(U106:U107)</f>
        <v>0.16551274792618309</v>
      </c>
      <c r="V108" s="12">
        <f t="shared" si="75"/>
        <v>0.16301707620929717</v>
      </c>
      <c r="W108" s="12">
        <f t="shared" si="75"/>
        <v>0.16051295371817442</v>
      </c>
      <c r="X108" s="12">
        <f t="shared" si="75"/>
        <v>0.15800034920033545</v>
      </c>
      <c r="Y108" s="12">
        <f t="shared" si="75"/>
        <v>0.15547923128150276</v>
      </c>
      <c r="Z108" s="12">
        <f t="shared" si="75"/>
        <v>0.15294956846511254</v>
      </c>
      <c r="AA108" s="12">
        <f t="shared" si="75"/>
        <v>0.15041132913182498</v>
      </c>
      <c r="AB108" s="12">
        <f t="shared" si="75"/>
        <v>0.14786448153903209</v>
      </c>
      <c r="AC108" s="12">
        <f t="shared" si="75"/>
        <v>0.14530899382036322</v>
      </c>
      <c r="AD108" s="12">
        <f t="shared" si="75"/>
        <v>0.14274483398518978</v>
      </c>
      <c r="AE108" s="12">
        <f t="shared" si="75"/>
        <v>0.14017196991812608</v>
      </c>
      <c r="AF108" s="12">
        <f t="shared" si="75"/>
        <v>0.13759036937852986</v>
      </c>
      <c r="AG108" s="12">
        <f t="shared" si="75"/>
        <v>0.13500000000000034</v>
      </c>
    </row>
    <row r="112" spans="1:33" ht="26.25" x14ac:dyDescent="0.4">
      <c r="A112" s="109" t="s">
        <v>79</v>
      </c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70"/>
    </row>
    <row r="113" spans="1:33" ht="24" thickBot="1" x14ac:dyDescent="0.4">
      <c r="A113" s="70"/>
      <c r="B113" s="70"/>
      <c r="C113" s="70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 spans="1:33" ht="15.75" x14ac:dyDescent="0.25">
      <c r="A114" s="49"/>
      <c r="B114" s="50"/>
      <c r="C114" s="100"/>
      <c r="D114" s="98">
        <v>2023</v>
      </c>
      <c r="E114" s="72">
        <v>2024</v>
      </c>
      <c r="F114" s="72">
        <v>2025</v>
      </c>
      <c r="G114" s="72">
        <v>2026</v>
      </c>
      <c r="H114" s="72">
        <v>2027</v>
      </c>
      <c r="I114" s="72">
        <v>2028</v>
      </c>
      <c r="J114" s="72">
        <v>2029</v>
      </c>
      <c r="K114" s="72">
        <v>2030</v>
      </c>
      <c r="L114" s="72">
        <v>2031</v>
      </c>
      <c r="M114" s="72">
        <v>2032</v>
      </c>
      <c r="N114" s="72">
        <v>2033</v>
      </c>
      <c r="O114" s="72">
        <v>2034</v>
      </c>
      <c r="P114" s="72">
        <v>2035</v>
      </c>
      <c r="Q114" s="72">
        <v>2036</v>
      </c>
      <c r="R114" s="73" t="s">
        <v>13</v>
      </c>
    </row>
    <row r="115" spans="1:33" ht="16.5" thickBot="1" x14ac:dyDescent="0.3">
      <c r="A115" s="26"/>
      <c r="B115" s="101"/>
      <c r="C115" s="102"/>
      <c r="D115" s="99">
        <f>'Market Analysis'!C64</f>
        <v>142.14200000000014</v>
      </c>
      <c r="E115" s="99">
        <f>'Market Analysis'!D64</f>
        <v>150.10195200000015</v>
      </c>
      <c r="F115" s="99">
        <f>'Market Analysis'!E64</f>
        <v>157.35506459936445</v>
      </c>
      <c r="G115" s="99">
        <f>'Market Analysis'!F64</f>
        <v>165.00954380095033</v>
      </c>
      <c r="H115" s="99">
        <f>'Market Analysis'!G64</f>
        <v>173.09009204558467</v>
      </c>
      <c r="I115" s="99">
        <f>'Market Analysis'!H64</f>
        <v>181.62307376063171</v>
      </c>
      <c r="J115" s="99">
        <f>'Market Analysis'!I64</f>
        <v>190.63663616051821</v>
      </c>
      <c r="K115" s="99">
        <f>'Market Analysis'!J64</f>
        <v>200.16083945046893</v>
      </c>
      <c r="L115" s="99">
        <f>'Market Analysis'!K64</f>
        <v>210.22779721206041</v>
      </c>
      <c r="M115" s="99">
        <f>'Market Analysis'!L64</f>
        <v>220.87182781741132</v>
      </c>
      <c r="N115" s="99">
        <f>'Market Analysis'!M64</f>
        <v>232.12961779333307</v>
      </c>
      <c r="O115" s="99">
        <f>'Market Analysis'!N64</f>
        <v>244.04039813817189</v>
      </c>
      <c r="P115" s="99">
        <f>'Market Analysis'!O64</f>
        <v>256.64613468305828</v>
      </c>
      <c r="Q115" s="99">
        <f>'Market Analysis'!P64</f>
        <v>269.99173368657733</v>
      </c>
      <c r="R115" s="75">
        <f>RATE(12,,-E115,Q115)</f>
        <v>5.0139539335170256E-2</v>
      </c>
      <c r="T115" s="72">
        <v>2023</v>
      </c>
      <c r="U115" s="72">
        <v>2024</v>
      </c>
      <c r="V115" s="72">
        <v>2025</v>
      </c>
      <c r="W115" s="72">
        <v>2026</v>
      </c>
      <c r="X115" s="72">
        <v>2027</v>
      </c>
      <c r="Y115" s="72">
        <v>2028</v>
      </c>
      <c r="Z115" s="72">
        <v>2029</v>
      </c>
      <c r="AA115" s="72">
        <v>2030</v>
      </c>
      <c r="AB115" s="72">
        <v>2031</v>
      </c>
      <c r="AC115" s="72">
        <v>2032</v>
      </c>
      <c r="AD115" s="72">
        <v>2033</v>
      </c>
      <c r="AE115" s="72">
        <v>2034</v>
      </c>
      <c r="AF115" s="72">
        <v>2035</v>
      </c>
      <c r="AG115" s="72">
        <v>2036</v>
      </c>
    </row>
    <row r="116" spans="1:33" x14ac:dyDescent="0.25">
      <c r="A116" s="110" t="s">
        <v>51</v>
      </c>
      <c r="B116" s="59" t="s">
        <v>34</v>
      </c>
      <c r="C116" s="52"/>
      <c r="D116" s="86">
        <f>D115*T116</f>
        <v>79.599520000000084</v>
      </c>
      <c r="E116" s="86">
        <f t="shared" ref="E116:Q116" si="76">E115*U116</f>
        <v>84.195429131913613</v>
      </c>
      <c r="F116" s="86">
        <f t="shared" si="76"/>
        <v>88.409116000998125</v>
      </c>
      <c r="G116" s="86">
        <f t="shared" si="76"/>
        <v>92.862320925049048</v>
      </c>
      <c r="H116" s="86">
        <f t="shared" si="76"/>
        <v>97.570117250350066</v>
      </c>
      <c r="I116" s="86">
        <f t="shared" si="76"/>
        <v>102.54861212876688</v>
      </c>
      <c r="J116" s="86">
        <f t="shared" si="76"/>
        <v>107.81502294592163</v>
      </c>
      <c r="K116" s="86">
        <f t="shared" si="76"/>
        <v>113.38775979012996</v>
      </c>
      <c r="L116" s="86">
        <f t="shared" si="76"/>
        <v>119.28651446929742</v>
      </c>
      <c r="M116" s="86">
        <f t="shared" si="76"/>
        <v>125.53235662797428</v>
      </c>
      <c r="N116" s="86">
        <f t="shared" si="76"/>
        <v>132.14783756597956</v>
      </c>
      <c r="O116" s="86">
        <f t="shared" si="76"/>
        <v>139.15710241382391</v>
      </c>
      <c r="P116" s="86">
        <f t="shared" si="76"/>
        <v>146.5860113790531</v>
      </c>
      <c r="Q116" s="86">
        <f t="shared" si="76"/>
        <v>154.46227084209065</v>
      </c>
      <c r="R116" s="84">
        <f>RATE(12,,-E116,Q116)</f>
        <v>5.1867794624897746E-2</v>
      </c>
      <c r="S116" s="59" t="s">
        <v>34</v>
      </c>
      <c r="T116" s="12">
        <v>0.56000000000000005</v>
      </c>
      <c r="U116" s="12">
        <v>0.56092161367703952</v>
      </c>
      <c r="V116" s="12">
        <v>0.56184474408938223</v>
      </c>
      <c r="W116" s="12">
        <v>0.56276939373317769</v>
      </c>
      <c r="X116" s="12">
        <v>0.56369556510868446</v>
      </c>
      <c r="Y116" s="12">
        <v>0.56462326072027491</v>
      </c>
      <c r="Z116" s="12">
        <v>0.56555248307644368</v>
      </c>
      <c r="AA116" s="12">
        <v>0.56648323468981299</v>
      </c>
      <c r="AB116" s="12">
        <v>0.56741551807714108</v>
      </c>
      <c r="AC116" s="12">
        <v>0.56834933575932756</v>
      </c>
      <c r="AD116" s="12">
        <v>0.56928469026142059</v>
      </c>
      <c r="AE116" s="12">
        <v>0.57022158411262425</v>
      </c>
      <c r="AF116" s="12">
        <v>0.57116001984630527</v>
      </c>
      <c r="AG116" s="12">
        <v>0.57209999999999905</v>
      </c>
    </row>
    <row r="117" spans="1:33" ht="15.75" thickBot="1" x14ac:dyDescent="0.3">
      <c r="A117" s="111"/>
      <c r="B117" s="60" t="s">
        <v>35</v>
      </c>
      <c r="C117" s="53"/>
      <c r="D117" s="87">
        <f>D115*T117</f>
        <v>62.542480000000054</v>
      </c>
      <c r="E117" s="87">
        <f t="shared" ref="E117:Q117" si="77">E115*U117</f>
        <v>65.90652286808654</v>
      </c>
      <c r="F117" s="87">
        <f t="shared" si="77"/>
        <v>68.945948598366328</v>
      </c>
      <c r="G117" s="87">
        <f t="shared" si="77"/>
        <v>72.147222875901278</v>
      </c>
      <c r="H117" s="87">
        <f t="shared" si="77"/>
        <v>75.519974795234603</v>
      </c>
      <c r="I117" s="87">
        <f t="shared" si="77"/>
        <v>79.074461631864835</v>
      </c>
      <c r="J117" s="87">
        <f t="shared" si="77"/>
        <v>82.821613214596582</v>
      </c>
      <c r="K117" s="87">
        <f t="shared" si="77"/>
        <v>86.773079660338965</v>
      </c>
      <c r="L117" s="87">
        <f t="shared" si="77"/>
        <v>90.941282742762994</v>
      </c>
      <c r="M117" s="87">
        <f t="shared" si="77"/>
        <v>95.339471189437035</v>
      </c>
      <c r="N117" s="87">
        <f t="shared" si="77"/>
        <v>99.981780227353511</v>
      </c>
      <c r="O117" s="87">
        <f t="shared" si="77"/>
        <v>104.883295724348</v>
      </c>
      <c r="P117" s="87">
        <f t="shared" si="77"/>
        <v>110.06012330400517</v>
      </c>
      <c r="Q117" s="87">
        <f t="shared" si="77"/>
        <v>115.5294628444867</v>
      </c>
      <c r="R117" s="85">
        <f>RATE(12,,-E117,Q117)</f>
        <v>4.788517503510864E-2</v>
      </c>
      <c r="S117" s="60" t="s">
        <v>35</v>
      </c>
      <c r="T117" s="12">
        <f>1-T116</f>
        <v>0.43999999999999995</v>
      </c>
      <c r="U117" s="12">
        <f t="shared" ref="U117:AG117" si="78">1-U116</f>
        <v>0.43907838632296048</v>
      </c>
      <c r="V117" s="12">
        <f t="shared" si="78"/>
        <v>0.43815525591061777</v>
      </c>
      <c r="W117" s="12">
        <f t="shared" si="78"/>
        <v>0.43723060626682231</v>
      </c>
      <c r="X117" s="12">
        <f t="shared" si="78"/>
        <v>0.43630443489131554</v>
      </c>
      <c r="Y117" s="12">
        <f t="shared" si="78"/>
        <v>0.43537673927972509</v>
      </c>
      <c r="Z117" s="12">
        <f t="shared" si="78"/>
        <v>0.43444751692355632</v>
      </c>
      <c r="AA117" s="12">
        <f t="shared" si="78"/>
        <v>0.43351676531018701</v>
      </c>
      <c r="AB117" s="12">
        <f t="shared" si="78"/>
        <v>0.43258448192285892</v>
      </c>
      <c r="AC117" s="12">
        <f t="shared" si="78"/>
        <v>0.43165066424067244</v>
      </c>
      <c r="AD117" s="12">
        <f t="shared" si="78"/>
        <v>0.43071530973857941</v>
      </c>
      <c r="AE117" s="12">
        <f t="shared" si="78"/>
        <v>0.42977841588737575</v>
      </c>
      <c r="AF117" s="12">
        <f t="shared" si="78"/>
        <v>0.42883998015369473</v>
      </c>
      <c r="AG117" s="12">
        <f t="shared" si="78"/>
        <v>0.42790000000000095</v>
      </c>
    </row>
    <row r="118" spans="1:33" ht="15.75" thickBot="1" x14ac:dyDescent="0.3">
      <c r="A118" s="1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21"/>
    </row>
    <row r="119" spans="1:33" x14ac:dyDescent="0.25">
      <c r="A119" s="110" t="s">
        <v>15</v>
      </c>
      <c r="B119" s="64" t="s">
        <v>16</v>
      </c>
      <c r="C119" s="54"/>
      <c r="D119" s="89">
        <f>D115*T119</f>
        <v>66.948882000000054</v>
      </c>
      <c r="E119" s="89">
        <f t="shared" ref="E119:Q119" si="79">E115*U119</f>
        <v>70.605648960000067</v>
      </c>
      <c r="F119" s="89">
        <f t="shared" si="79"/>
        <v>73.920567654486049</v>
      </c>
      <c r="G119" s="89">
        <f t="shared" si="79"/>
        <v>77.414862126307384</v>
      </c>
      <c r="H119" s="89">
        <f t="shared" si="79"/>
        <v>81.099365434588933</v>
      </c>
      <c r="I119" s="89">
        <f t="shared" si="79"/>
        <v>84.98562751430174</v>
      </c>
      <c r="J119" s="89">
        <f t="shared" si="79"/>
        <v>89.085966513472925</v>
      </c>
      <c r="K119" s="89">
        <f t="shared" si="79"/>
        <v>93.413524072768837</v>
      </c>
      <c r="L119" s="89">
        <f t="shared" si="79"/>
        <v>97.982324869836461</v>
      </c>
      <c r="M119" s="89">
        <f t="shared" si="79"/>
        <v>102.80734077870429</v>
      </c>
      <c r="N119" s="89">
        <f t="shared" si="79"/>
        <v>107.90456002500858</v>
      </c>
      <c r="O119" s="89">
        <f t="shared" si="79"/>
        <v>113.29106175106672</v>
      </c>
      <c r="P119" s="89">
        <f t="shared" si="79"/>
        <v>118.98509644113786</v>
      </c>
      <c r="Q119" s="89">
        <f t="shared" si="79"/>
        <v>125.0061726968853</v>
      </c>
      <c r="R119" s="76">
        <f>RATE(12,,-E119,Q119)</f>
        <v>4.8755699724501556E-2</v>
      </c>
      <c r="S119" s="64" t="s">
        <v>16</v>
      </c>
      <c r="T119" s="12">
        <v>0.47099999999999992</v>
      </c>
      <c r="U119" s="12">
        <v>0.47038461538461535</v>
      </c>
      <c r="V119" s="12">
        <v>0.46976923076923072</v>
      </c>
      <c r="W119" s="12">
        <v>0.46915384615384609</v>
      </c>
      <c r="X119" s="12">
        <v>0.46853846153846151</v>
      </c>
      <c r="Y119" s="12">
        <v>0.46792307692307689</v>
      </c>
      <c r="Z119" s="12">
        <v>0.46730769230769226</v>
      </c>
      <c r="AA119" s="12">
        <v>0.46669230769230763</v>
      </c>
      <c r="AB119" s="12">
        <v>0.46607692307692306</v>
      </c>
      <c r="AC119" s="12">
        <v>0.46546153846153843</v>
      </c>
      <c r="AD119" s="12">
        <v>0.4648461538461538</v>
      </c>
      <c r="AE119" s="12">
        <v>0.46423076923076922</v>
      </c>
      <c r="AF119" s="12">
        <v>0.4636153846153846</v>
      </c>
      <c r="AG119" s="12">
        <v>0.46299999999999997</v>
      </c>
    </row>
    <row r="120" spans="1:33" ht="15.75" thickBot="1" x14ac:dyDescent="0.3">
      <c r="A120" s="111"/>
      <c r="B120" s="65" t="s">
        <v>17</v>
      </c>
      <c r="C120" s="55"/>
      <c r="D120" s="90">
        <f>D115*T120</f>
        <v>75.193118000000098</v>
      </c>
      <c r="E120" s="90">
        <f t="shared" ref="E120:Q120" si="80">E115*U120</f>
        <v>79.496303040000072</v>
      </c>
      <c r="F120" s="90">
        <f t="shared" si="80"/>
        <v>83.434496944878404</v>
      </c>
      <c r="G120" s="90">
        <f t="shared" si="80"/>
        <v>87.594681674642956</v>
      </c>
      <c r="H120" s="90">
        <f t="shared" si="80"/>
        <v>91.990726610995722</v>
      </c>
      <c r="I120" s="90">
        <f t="shared" si="80"/>
        <v>96.637446246329972</v>
      </c>
      <c r="J120" s="90">
        <f t="shared" si="80"/>
        <v>101.5506696470453</v>
      </c>
      <c r="K120" s="90">
        <f t="shared" si="80"/>
        <v>106.74731537770009</v>
      </c>
      <c r="L120" s="90">
        <f t="shared" si="80"/>
        <v>112.24547234222395</v>
      </c>
      <c r="M120" s="90">
        <f t="shared" si="80"/>
        <v>118.06448703870704</v>
      </c>
      <c r="N120" s="90">
        <f t="shared" si="80"/>
        <v>124.22505776832449</v>
      </c>
      <c r="O120" s="90">
        <f t="shared" si="80"/>
        <v>130.74933638710519</v>
      </c>
      <c r="P120" s="90">
        <f t="shared" si="80"/>
        <v>137.66103824192044</v>
      </c>
      <c r="Q120" s="90">
        <f t="shared" si="80"/>
        <v>144.98556098969203</v>
      </c>
      <c r="R120" s="77">
        <f>RATE(12,,-E120,Q120)</f>
        <v>5.1352015839019848E-2</v>
      </c>
      <c r="S120" s="65" t="s">
        <v>17</v>
      </c>
      <c r="T120" s="12">
        <f>1-T119</f>
        <v>0.52900000000000014</v>
      </c>
      <c r="U120" s="12">
        <f t="shared" ref="U120:AG120" si="81">1-U119</f>
        <v>0.5296153846153846</v>
      </c>
      <c r="V120" s="12">
        <f t="shared" si="81"/>
        <v>0.53023076923076928</v>
      </c>
      <c r="W120" s="12">
        <f t="shared" si="81"/>
        <v>0.53084615384615397</v>
      </c>
      <c r="X120" s="12">
        <f t="shared" si="81"/>
        <v>0.53146153846153843</v>
      </c>
      <c r="Y120" s="12">
        <f t="shared" si="81"/>
        <v>0.53207692307692311</v>
      </c>
      <c r="Z120" s="12">
        <f t="shared" si="81"/>
        <v>0.5326923076923078</v>
      </c>
      <c r="AA120" s="12">
        <f t="shared" si="81"/>
        <v>0.53330769230769237</v>
      </c>
      <c r="AB120" s="12">
        <f t="shared" si="81"/>
        <v>0.53392307692307694</v>
      </c>
      <c r="AC120" s="12">
        <f t="shared" si="81"/>
        <v>0.53453846153846163</v>
      </c>
      <c r="AD120" s="12">
        <f t="shared" si="81"/>
        <v>0.5351538461538462</v>
      </c>
      <c r="AE120" s="12">
        <f t="shared" si="81"/>
        <v>0.53576923076923078</v>
      </c>
      <c r="AF120" s="12">
        <f t="shared" si="81"/>
        <v>0.53638461538461546</v>
      </c>
      <c r="AG120" s="12">
        <f t="shared" si="81"/>
        <v>0.53700000000000003</v>
      </c>
    </row>
    <row r="121" spans="1:33" ht="15.75" thickBot="1" x14ac:dyDescent="0.3">
      <c r="A121" s="1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21"/>
    </row>
    <row r="122" spans="1:33" x14ac:dyDescent="0.25">
      <c r="A122" s="110" t="s">
        <v>18</v>
      </c>
      <c r="B122" s="61" t="s">
        <v>19</v>
      </c>
      <c r="C122" s="56"/>
      <c r="D122" s="91">
        <f>D115*T122</f>
        <v>56.998942000000049</v>
      </c>
      <c r="E122" s="91">
        <f t="shared" ref="E122:Q122" si="82">E115*U122</f>
        <v>60.438686864780308</v>
      </c>
      <c r="F122" s="91">
        <f t="shared" si="82"/>
        <v>63.620007034185456</v>
      </c>
      <c r="G122" s="91">
        <f t="shared" si="82"/>
        <v>66.989441663705065</v>
      </c>
      <c r="H122" s="91">
        <f t="shared" si="82"/>
        <v>70.559226405652595</v>
      </c>
      <c r="I122" s="91">
        <f t="shared" si="82"/>
        <v>74.342460436572907</v>
      </c>
      <c r="J122" s="91">
        <f t="shared" si="82"/>
        <v>78.353171935631451</v>
      </c>
      <c r="K122" s="91">
        <f t="shared" si="82"/>
        <v>82.606388857888618</v>
      </c>
      <c r="L122" s="91">
        <f t="shared" si="82"/>
        <v>87.118215456389976</v>
      </c>
      <c r="M122" s="91">
        <f t="shared" si="82"/>
        <v>91.90591504806315</v>
      </c>
      <c r="N122" s="91">
        <f t="shared" si="82"/>
        <v>96.987999563374785</v>
      </c>
      <c r="O122" s="91">
        <f t="shared" si="82"/>
        <v>102.38432646895544</v>
      </c>
      <c r="P122" s="91">
        <f t="shared" si="82"/>
        <v>108.11620370637513</v>
      </c>
      <c r="Q122" s="91">
        <f t="shared" si="82"/>
        <v>114.20650334942205</v>
      </c>
      <c r="R122" s="78">
        <f>RATE(12,,-E122,Q122)</f>
        <v>5.4462933260325121E-2</v>
      </c>
      <c r="S122" s="61" t="s">
        <v>19</v>
      </c>
      <c r="T122" s="12">
        <v>0.40099999999999997</v>
      </c>
      <c r="U122" s="12">
        <v>0.40265090533119946</v>
      </c>
      <c r="V122" s="12">
        <v>0.40430860739160734</v>
      </c>
      <c r="W122" s="12">
        <v>0.40597313416316017</v>
      </c>
      <c r="X122" s="12">
        <v>0.40764451374299493</v>
      </c>
      <c r="Y122" s="12">
        <v>0.40932277434392395</v>
      </c>
      <c r="Z122" s="12">
        <v>0.41100794429491083</v>
      </c>
      <c r="AA122" s="12">
        <v>0.4127000520415488</v>
      </c>
      <c r="AB122" s="12">
        <v>0.41439912614654062</v>
      </c>
      <c r="AC122" s="12">
        <v>0.41610519529018092</v>
      </c>
      <c r="AD122" s="12">
        <v>0.41781828827084017</v>
      </c>
      <c r="AE122" s="12">
        <v>0.4195384340054511</v>
      </c>
      <c r="AF122" s="12">
        <v>0.4212656615299965</v>
      </c>
      <c r="AG122" s="12">
        <v>0.42299999999999938</v>
      </c>
    </row>
    <row r="123" spans="1:33" ht="15.75" thickBot="1" x14ac:dyDescent="0.3">
      <c r="A123" s="111"/>
      <c r="B123" s="63" t="s">
        <v>20</v>
      </c>
      <c r="C123" s="51"/>
      <c r="D123" s="92">
        <f>D115*T123</f>
        <v>85.143058000000082</v>
      </c>
      <c r="E123" s="92">
        <f t="shared" ref="E123:Q123" si="83">E115*U123</f>
        <v>89.663265135219831</v>
      </c>
      <c r="F123" s="92">
        <f t="shared" si="83"/>
        <v>93.735057565179005</v>
      </c>
      <c r="G123" s="92">
        <f t="shared" si="83"/>
        <v>98.02010213724526</v>
      </c>
      <c r="H123" s="92">
        <f t="shared" si="83"/>
        <v>102.53086563993207</v>
      </c>
      <c r="I123" s="92">
        <f t="shared" si="83"/>
        <v>107.28061332405881</v>
      </c>
      <c r="J123" s="92">
        <f t="shared" si="83"/>
        <v>112.28346422488676</v>
      </c>
      <c r="K123" s="92">
        <f t="shared" si="83"/>
        <v>117.55445059258031</v>
      </c>
      <c r="L123" s="92">
        <f t="shared" si="83"/>
        <v>123.10958175567043</v>
      </c>
      <c r="M123" s="92">
        <f t="shared" si="83"/>
        <v>128.96591276934817</v>
      </c>
      <c r="N123" s="92">
        <f t="shared" si="83"/>
        <v>135.14161822995828</v>
      </c>
      <c r="O123" s="92">
        <f t="shared" si="83"/>
        <v>141.65607166921646</v>
      </c>
      <c r="P123" s="92">
        <f t="shared" si="83"/>
        <v>148.52993097668315</v>
      </c>
      <c r="Q123" s="92">
        <f t="shared" si="83"/>
        <v>155.7852303371553</v>
      </c>
      <c r="R123" s="79">
        <f>RATE(12,,-E123,Q123)</f>
        <v>4.7110812709370516E-2</v>
      </c>
      <c r="S123" s="63" t="s">
        <v>20</v>
      </c>
      <c r="T123" s="12">
        <f>1-T122</f>
        <v>0.59899999999999998</v>
      </c>
      <c r="U123" s="12">
        <f t="shared" ref="U123:AG123" si="84">1-U122</f>
        <v>0.59734909466880048</v>
      </c>
      <c r="V123" s="12">
        <f t="shared" si="84"/>
        <v>0.59569139260839266</v>
      </c>
      <c r="W123" s="12">
        <f t="shared" si="84"/>
        <v>0.59402686583683983</v>
      </c>
      <c r="X123" s="12">
        <f t="shared" si="84"/>
        <v>0.59235548625700507</v>
      </c>
      <c r="Y123" s="12">
        <f t="shared" si="84"/>
        <v>0.59067722565607605</v>
      </c>
      <c r="Z123" s="12">
        <f t="shared" si="84"/>
        <v>0.58899205570508917</v>
      </c>
      <c r="AA123" s="12">
        <f t="shared" si="84"/>
        <v>0.5872999479584512</v>
      </c>
      <c r="AB123" s="12">
        <f t="shared" si="84"/>
        <v>0.58560087385345938</v>
      </c>
      <c r="AC123" s="12">
        <f t="shared" si="84"/>
        <v>0.58389480470981914</v>
      </c>
      <c r="AD123" s="12">
        <f t="shared" si="84"/>
        <v>0.58218171172915989</v>
      </c>
      <c r="AE123" s="12">
        <f t="shared" si="84"/>
        <v>0.5804615659945489</v>
      </c>
      <c r="AF123" s="12">
        <f t="shared" si="84"/>
        <v>0.57873433847000344</v>
      </c>
      <c r="AG123" s="12">
        <f t="shared" si="84"/>
        <v>0.57700000000000062</v>
      </c>
    </row>
    <row r="124" spans="1:33" ht="15.75" thickBot="1" x14ac:dyDescent="0.3">
      <c r="A124" s="2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21"/>
    </row>
    <row r="125" spans="1:33" x14ac:dyDescent="0.25">
      <c r="A125" s="110" t="s">
        <v>14</v>
      </c>
      <c r="B125" s="66" t="s">
        <v>21</v>
      </c>
      <c r="C125" s="57"/>
      <c r="D125" s="93">
        <f>D115*T125</f>
        <v>35.535500000000035</v>
      </c>
      <c r="E125" s="93">
        <f t="shared" ref="E125:Q125" si="85">E115*U125</f>
        <v>37.759036939686276</v>
      </c>
      <c r="F125" s="93">
        <f t="shared" si="85"/>
        <v>39.829958563920357</v>
      </c>
      <c r="G125" s="93">
        <f t="shared" si="85"/>
        <v>42.027422191852715</v>
      </c>
      <c r="H125" s="93">
        <f t="shared" si="85"/>
        <v>44.359889762339812</v>
      </c>
      <c r="I125" s="93">
        <f t="shared" si="85"/>
        <v>46.836434992972151</v>
      </c>
      <c r="J125" s="93">
        <f t="shared" si="85"/>
        <v>49.46679077556032</v>
      </c>
      <c r="K125" s="93">
        <f t="shared" si="85"/>
        <v>52.261400479241871</v>
      </c>
      <c r="L125" s="93">
        <f t="shared" si="85"/>
        <v>55.231473502195129</v>
      </c>
      <c r="M125" s="93">
        <f t="shared" si="85"/>
        <v>58.38904544429726</v>
      </c>
      <c r="N125" s="93">
        <f t="shared" si="85"/>
        <v>61.747043307441444</v>
      </c>
      <c r="O125" s="93">
        <f t="shared" si="85"/>
        <v>65.319356167935396</v>
      </c>
      <c r="P125" s="93">
        <f t="shared" si="85"/>
        <v>69.120911806782061</v>
      </c>
      <c r="Q125" s="93">
        <f t="shared" si="85"/>
        <v>73.16775982906249</v>
      </c>
      <c r="R125" s="80">
        <f t="shared" ref="R125:R130" si="86">RATE(12,,-E125,Q125)</f>
        <v>5.6675336442827393E-2</v>
      </c>
      <c r="S125" s="66" t="s">
        <v>21</v>
      </c>
      <c r="T125" s="12">
        <v>0.25</v>
      </c>
      <c r="U125" s="12">
        <v>0.25155593539307364</v>
      </c>
      <c r="V125" s="12">
        <v>0.25312155452593693</v>
      </c>
      <c r="W125" s="12">
        <v>0.25469691766768382</v>
      </c>
      <c r="X125" s="12">
        <v>0.25628208546250747</v>
      </c>
      <c r="Y125" s="12">
        <v>0.2578771189320348</v>
      </c>
      <c r="Z125" s="12">
        <v>0.25948207947767565</v>
      </c>
      <c r="AA125" s="12">
        <v>0.2610970288829863</v>
      </c>
      <c r="AB125" s="12">
        <v>0.26272202931604799</v>
      </c>
      <c r="AC125" s="12">
        <v>0.26435714333185978</v>
      </c>
      <c r="AD125" s="12">
        <v>0.26600243387474731</v>
      </c>
      <c r="AE125" s="12">
        <v>0.26765796428078514</v>
      </c>
      <c r="AF125" s="12">
        <v>0.26932379828023517</v>
      </c>
      <c r="AG125" s="12">
        <v>0.27100000000000013</v>
      </c>
    </row>
    <row r="126" spans="1:33" x14ac:dyDescent="0.25">
      <c r="A126" s="112"/>
      <c r="B126" s="67" t="s">
        <v>22</v>
      </c>
      <c r="C126" s="48"/>
      <c r="D126" s="94">
        <f>D115*T126</f>
        <v>54.013960000000054</v>
      </c>
      <c r="E126" s="94">
        <f t="shared" ref="E126:Q126" si="87">E115*U126</f>
        <v>57.175317932113231</v>
      </c>
      <c r="F126" s="94">
        <f t="shared" si="87"/>
        <v>60.081618778693958</v>
      </c>
      <c r="G126" s="94">
        <f t="shared" si="87"/>
        <v>63.155127309265261</v>
      </c>
      <c r="H126" s="94">
        <f t="shared" si="87"/>
        <v>66.406472586121836</v>
      </c>
      <c r="I126" s="94">
        <f t="shared" si="87"/>
        <v>69.847019032442546</v>
      </c>
      <c r="J126" s="94">
        <f t="shared" si="87"/>
        <v>73.488921216927864</v>
      </c>
      <c r="K126" s="94">
        <f t="shared" si="87"/>
        <v>77.345182998648994</v>
      </c>
      <c r="L126" s="94">
        <f t="shared" si="87"/>
        <v>81.429721400522823</v>
      </c>
      <c r="M126" s="94">
        <f t="shared" si="87"/>
        <v>85.757435612707354</v>
      </c>
      <c r="N126" s="94">
        <f t="shared" si="87"/>
        <v>90.344281563182093</v>
      </c>
      <c r="O126" s="94">
        <f t="shared" si="87"/>
        <v>95.207352532136667</v>
      </c>
      <c r="P126" s="94">
        <f t="shared" si="87"/>
        <v>100.36496632987686</v>
      </c>
      <c r="Q126" s="94">
        <f t="shared" si="87"/>
        <v>105.83675960513833</v>
      </c>
      <c r="R126" s="81">
        <f t="shared" si="86"/>
        <v>5.2654041479520852E-2</v>
      </c>
      <c r="S126" s="67" t="s">
        <v>22</v>
      </c>
      <c r="T126" s="12">
        <v>0.38</v>
      </c>
      <c r="U126" s="12">
        <v>0.38090988938047371</v>
      </c>
      <c r="V126" s="12">
        <v>0.38182195744169661</v>
      </c>
      <c r="W126" s="12">
        <v>0.38273620940040159</v>
      </c>
      <c r="X126" s="12">
        <v>0.38365265048581265</v>
      </c>
      <c r="Y126" s="12">
        <v>0.38457128593967477</v>
      </c>
      <c r="Z126" s="12">
        <v>0.38549212101628438</v>
      </c>
      <c r="AA126" s="12">
        <v>0.38641516098251855</v>
      </c>
      <c r="AB126" s="12">
        <v>0.38734041111786593</v>
      </c>
      <c r="AC126" s="12">
        <v>0.38826787671445667</v>
      </c>
      <c r="AD126" s="12">
        <v>0.38919756307709236</v>
      </c>
      <c r="AE126" s="12">
        <v>0.39012947552327681</v>
      </c>
      <c r="AF126" s="12">
        <v>0.3910636193832463</v>
      </c>
      <c r="AG126" s="12">
        <v>0.39200000000000002</v>
      </c>
    </row>
    <row r="127" spans="1:33" x14ac:dyDescent="0.25">
      <c r="A127" s="112"/>
      <c r="B127" s="68" t="s">
        <v>23</v>
      </c>
      <c r="C127" s="48"/>
      <c r="D127" s="95">
        <f>D126*T127</f>
        <v>18.904886000000012</v>
      </c>
      <c r="E127" s="95">
        <f t="shared" ref="E127:Q127" si="88">E126*U127</f>
        <v>19.976248991354876</v>
      </c>
      <c r="F127" s="95">
        <f t="shared" si="88"/>
        <v>20.954837130608137</v>
      </c>
      <c r="G127" s="95">
        <f t="shared" si="88"/>
        <v>21.988144848355986</v>
      </c>
      <c r="H127" s="95">
        <f t="shared" si="88"/>
        <v>23.079569093137877</v>
      </c>
      <c r="I127" s="95">
        <f t="shared" si="88"/>
        <v>24.232737066226587</v>
      </c>
      <c r="J127" s="95">
        <f t="shared" si="88"/>
        <v>25.451523067658684</v>
      </c>
      <c r="K127" s="95">
        <f t="shared" si="88"/>
        <v>26.740066661335717</v>
      </c>
      <c r="L127" s="95">
        <f t="shared" si="88"/>
        <v>28.102792269007026</v>
      </c>
      <c r="M127" s="95">
        <f t="shared" si="88"/>
        <v>29.544430312612551</v>
      </c>
      <c r="N127" s="95">
        <f t="shared" si="88"/>
        <v>31.070040035028239</v>
      </c>
      <c r="O127" s="95">
        <f t="shared" si="88"/>
        <v>32.685034140803737</v>
      </c>
      <c r="P127" s="95">
        <f t="shared" si="88"/>
        <v>34.395205411108947</v>
      </c>
      <c r="Q127" s="95">
        <f t="shared" si="88"/>
        <v>36.206755460917798</v>
      </c>
      <c r="R127" s="81">
        <f t="shared" si="86"/>
        <v>5.0807036266872843E-2</v>
      </c>
      <c r="S127" s="68" t="s">
        <v>23</v>
      </c>
      <c r="T127" s="74">
        <v>0.34999999999999987</v>
      </c>
      <c r="U127" s="74">
        <v>0.34938588387166564</v>
      </c>
      <c r="V127" s="74">
        <v>0.34877284528224306</v>
      </c>
      <c r="W127" s="74">
        <v>0.34816088234106346</v>
      </c>
      <c r="X127" s="74">
        <v>0.34754999316077562</v>
      </c>
      <c r="Y127" s="74">
        <v>0.34694017585733994</v>
      </c>
      <c r="Z127" s="74">
        <v>0.34633142855002247</v>
      </c>
      <c r="AA127" s="74">
        <v>0.34572374936138933</v>
      </c>
      <c r="AB127" s="74">
        <v>0.34511713641730069</v>
      </c>
      <c r="AC127" s="74">
        <v>0.34451158784690528</v>
      </c>
      <c r="AD127" s="74">
        <v>0.34390710178263434</v>
      </c>
      <c r="AE127" s="74">
        <v>0.34330367636019604</v>
      </c>
      <c r="AF127" s="74">
        <v>0.34270130971856966</v>
      </c>
      <c r="AG127" s="74">
        <v>0.34209999999999979</v>
      </c>
    </row>
    <row r="128" spans="1:33" x14ac:dyDescent="0.25">
      <c r="A128" s="112"/>
      <c r="B128" s="68" t="s">
        <v>24</v>
      </c>
      <c r="C128" s="48"/>
      <c r="D128" s="95">
        <f>D126*T128</f>
        <v>15.123908800000017</v>
      </c>
      <c r="E128" s="95">
        <f t="shared" ref="E128:Q128" si="89">E126*U128</f>
        <v>16.06507442364008</v>
      </c>
      <c r="F128" s="95">
        <f t="shared" si="89"/>
        <v>16.940721433648172</v>
      </c>
      <c r="G128" s="95">
        <f t="shared" si="89"/>
        <v>17.869607479246355</v>
      </c>
      <c r="H128" s="95">
        <f t="shared" si="89"/>
        <v>18.855277655389767</v>
      </c>
      <c r="I128" s="95">
        <f t="shared" si="89"/>
        <v>19.90153241466416</v>
      </c>
      <c r="J128" s="95">
        <f t="shared" si="89"/>
        <v>21.012447285303729</v>
      </c>
      <c r="K128" s="95">
        <f t="shared" si="89"/>
        <v>22.19239421007665</v>
      </c>
      <c r="L128" s="95">
        <f t="shared" si="89"/>
        <v>23.446064647094413</v>
      </c>
      <c r="M128" s="95">
        <f t="shared" si="89"/>
        <v>24.778494586537345</v>
      </c>
      <c r="N128" s="95">
        <f t="shared" si="89"/>
        <v>26.195091651471248</v>
      </c>
      <c r="O128" s="95">
        <f t="shared" si="89"/>
        <v>27.701664466483312</v>
      </c>
      <c r="P128" s="95">
        <f t="shared" si="89"/>
        <v>29.304454494928649</v>
      </c>
      <c r="Q128" s="95">
        <f t="shared" si="89"/>
        <v>31.010170564305493</v>
      </c>
      <c r="R128" s="81">
        <f t="shared" si="86"/>
        <v>5.6335279074260045E-2</v>
      </c>
      <c r="S128" s="68" t="s">
        <v>24</v>
      </c>
      <c r="T128" s="74">
        <v>0.28000000000000003</v>
      </c>
      <c r="U128" s="74">
        <v>0.28097918830490543</v>
      </c>
      <c r="V128" s="74">
        <v>0.28196180093029821</v>
      </c>
      <c r="W128" s="74">
        <v>0.28294784985137333</v>
      </c>
      <c r="X128" s="74">
        <v>0.28393734708520407</v>
      </c>
      <c r="Y128" s="74">
        <v>0.28493030469088876</v>
      </c>
      <c r="Z128" s="74">
        <v>0.28592673476969749</v>
      </c>
      <c r="AA128" s="74">
        <v>0.28692664946521995</v>
      </c>
      <c r="AB128" s="74">
        <v>0.28793006096351298</v>
      </c>
      <c r="AC128" s="74">
        <v>0.28893698149324931</v>
      </c>
      <c r="AD128" s="74">
        <v>0.28994742332586665</v>
      </c>
      <c r="AE128" s="74">
        <v>0.29096139877571725</v>
      </c>
      <c r="AF128" s="74">
        <v>0.29197892020021765</v>
      </c>
      <c r="AG128" s="74">
        <v>0.29299999999999965</v>
      </c>
    </row>
    <row r="129" spans="1:33" x14ac:dyDescent="0.25">
      <c r="A129" s="112"/>
      <c r="B129" s="68" t="s">
        <v>25</v>
      </c>
      <c r="C129" s="48"/>
      <c r="D129" s="95">
        <f>D126*T129</f>
        <v>19.985165200000026</v>
      </c>
      <c r="E129" s="95">
        <f t="shared" ref="E129:Q129" si="90">E126*U129</f>
        <v>21.133994517118278</v>
      </c>
      <c r="F129" s="95">
        <f t="shared" si="90"/>
        <v>22.186060214437649</v>
      </c>
      <c r="G129" s="95">
        <f t="shared" si="90"/>
        <v>23.297374981662919</v>
      </c>
      <c r="H129" s="95">
        <f t="shared" si="90"/>
        <v>24.471625837594189</v>
      </c>
      <c r="I129" s="95">
        <f t="shared" si="90"/>
        <v>25.712749551551799</v>
      </c>
      <c r="J129" s="95">
        <f t="shared" si="90"/>
        <v>27.024950863965454</v>
      </c>
      <c r="K129" s="95">
        <f t="shared" si="90"/>
        <v>28.412722127236634</v>
      </c>
      <c r="L129" s="95">
        <f t="shared" si="90"/>
        <v>29.880864484421391</v>
      </c>
      <c r="M129" s="95">
        <f t="shared" si="90"/>
        <v>31.434510713557458</v>
      </c>
      <c r="N129" s="95">
        <f t="shared" si="90"/>
        <v>33.0791498766826</v>
      </c>
      <c r="O129" s="95">
        <f t="shared" si="90"/>
        <v>34.820653924849616</v>
      </c>
      <c r="P129" s="95">
        <f t="shared" si="90"/>
        <v>36.665306423839276</v>
      </c>
      <c r="Q129" s="95">
        <f t="shared" si="90"/>
        <v>38.619833579915031</v>
      </c>
      <c r="R129" s="81">
        <f t="shared" si="86"/>
        <v>5.1523704171279779E-2</v>
      </c>
      <c r="S129" s="68" t="s">
        <v>25</v>
      </c>
      <c r="T129" s="74">
        <f>1-SUM(T127:T128)</f>
        <v>0.37000000000000011</v>
      </c>
      <c r="U129" s="74">
        <f t="shared" ref="U129:AG129" si="91">1-SUM(U127:U128)</f>
        <v>0.36963492782342899</v>
      </c>
      <c r="V129" s="74">
        <f t="shared" si="91"/>
        <v>0.36926535378745873</v>
      </c>
      <c r="W129" s="74">
        <f t="shared" si="91"/>
        <v>0.36889126780756321</v>
      </c>
      <c r="X129" s="74">
        <f t="shared" si="91"/>
        <v>0.36851265975402026</v>
      </c>
      <c r="Y129" s="74">
        <f t="shared" si="91"/>
        <v>0.3681295194517713</v>
      </c>
      <c r="Z129" s="74">
        <f t="shared" si="91"/>
        <v>0.36774183668028004</v>
      </c>
      <c r="AA129" s="74">
        <f t="shared" si="91"/>
        <v>0.36734960117339077</v>
      </c>
      <c r="AB129" s="74">
        <f t="shared" si="91"/>
        <v>0.36695280261918639</v>
      </c>
      <c r="AC129" s="74">
        <f t="shared" si="91"/>
        <v>0.36655143065984541</v>
      </c>
      <c r="AD129" s="74">
        <f t="shared" si="91"/>
        <v>0.36614547489149896</v>
      </c>
      <c r="AE129" s="74">
        <f t="shared" si="91"/>
        <v>0.36573492486408665</v>
      </c>
      <c r="AF129" s="74">
        <f t="shared" si="91"/>
        <v>0.36531977008121275</v>
      </c>
      <c r="AG129" s="74">
        <f t="shared" si="91"/>
        <v>0.36490000000000056</v>
      </c>
    </row>
    <row r="130" spans="1:33" ht="15.75" thickBot="1" x14ac:dyDescent="0.3">
      <c r="A130" s="111"/>
      <c r="B130" s="69" t="s">
        <v>26</v>
      </c>
      <c r="C130" s="58"/>
      <c r="D130" s="96">
        <f>D115*T130</f>
        <v>52.592540000000049</v>
      </c>
      <c r="E130" s="96">
        <f t="shared" ref="E130:Q130" si="92">E115*U130</f>
        <v>55.167597128200647</v>
      </c>
      <c r="F130" s="96">
        <f t="shared" si="92"/>
        <v>57.443487256750139</v>
      </c>
      <c r="G130" s="96">
        <f t="shared" si="92"/>
        <v>59.82699429983235</v>
      </c>
      <c r="H130" s="96">
        <f t="shared" si="92"/>
        <v>62.323729697123028</v>
      </c>
      <c r="I130" s="96">
        <f t="shared" si="92"/>
        <v>64.939619735217008</v>
      </c>
      <c r="J130" s="96">
        <f t="shared" si="92"/>
        <v>67.680924168030032</v>
      </c>
      <c r="K130" s="96">
        <f t="shared" si="92"/>
        <v>70.554255972578062</v>
      </c>
      <c r="L130" s="96">
        <f t="shared" si="92"/>
        <v>73.566602309342457</v>
      </c>
      <c r="M130" s="96">
        <f t="shared" si="92"/>
        <v>76.725346760406708</v>
      </c>
      <c r="N130" s="96">
        <f t="shared" si="92"/>
        <v>80.038292922709545</v>
      </c>
      <c r="O130" s="96">
        <f t="shared" si="92"/>
        <v>83.513689438099831</v>
      </c>
      <c r="P130" s="96">
        <f t="shared" si="92"/>
        <v>87.160256546399367</v>
      </c>
      <c r="Q130" s="96">
        <f t="shared" si="92"/>
        <v>90.987214252376518</v>
      </c>
      <c r="R130" s="82">
        <f t="shared" si="86"/>
        <v>4.2576724329961881E-2</v>
      </c>
      <c r="S130" s="69" t="s">
        <v>26</v>
      </c>
      <c r="T130" s="12">
        <f>1-SUM(T125+T126)</f>
        <v>0.37</v>
      </c>
      <c r="U130" s="12">
        <f t="shared" ref="U130:AG130" si="93">1-SUM(U125+U126)</f>
        <v>0.36753417522645271</v>
      </c>
      <c r="V130" s="12">
        <f t="shared" si="93"/>
        <v>0.36505648803236646</v>
      </c>
      <c r="W130" s="12">
        <f t="shared" si="93"/>
        <v>0.36256687293191459</v>
      </c>
      <c r="X130" s="12">
        <f t="shared" si="93"/>
        <v>0.36006526405167993</v>
      </c>
      <c r="Y130" s="12">
        <f t="shared" si="93"/>
        <v>0.35755159512829038</v>
      </c>
      <c r="Z130" s="12">
        <f t="shared" si="93"/>
        <v>0.35502579950603996</v>
      </c>
      <c r="AA130" s="12">
        <f t="shared" si="93"/>
        <v>0.35248781013449515</v>
      </c>
      <c r="AB130" s="12">
        <f t="shared" si="93"/>
        <v>0.34993755956608608</v>
      </c>
      <c r="AC130" s="12">
        <f t="shared" si="93"/>
        <v>0.3473749799536836</v>
      </c>
      <c r="AD130" s="12">
        <f t="shared" si="93"/>
        <v>0.34480000304816039</v>
      </c>
      <c r="AE130" s="12">
        <f t="shared" si="93"/>
        <v>0.34221256019593804</v>
      </c>
      <c r="AF130" s="12">
        <f t="shared" si="93"/>
        <v>0.33961258233651859</v>
      </c>
      <c r="AG130" s="12">
        <f t="shared" si="93"/>
        <v>0.33699999999999986</v>
      </c>
    </row>
    <row r="131" spans="1:33" ht="15.75" thickBot="1" x14ac:dyDescent="0.3">
      <c r="A131" s="2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21"/>
    </row>
    <row r="132" spans="1:33" x14ac:dyDescent="0.25">
      <c r="A132" s="113" t="s">
        <v>27</v>
      </c>
      <c r="B132" s="61" t="s">
        <v>28</v>
      </c>
      <c r="C132" s="56"/>
      <c r="D132" s="91">
        <f>D115*T132</f>
        <v>56.998942000000049</v>
      </c>
      <c r="E132" s="91">
        <f t="shared" ref="E132:Q132" si="94">E115*U132</f>
        <v>60.438686864780308</v>
      </c>
      <c r="F132" s="91">
        <f t="shared" si="94"/>
        <v>63.620007034185456</v>
      </c>
      <c r="G132" s="91">
        <f t="shared" si="94"/>
        <v>66.989441663705065</v>
      </c>
      <c r="H132" s="91">
        <f t="shared" si="94"/>
        <v>70.559226405652595</v>
      </c>
      <c r="I132" s="91">
        <f t="shared" si="94"/>
        <v>74.342460436572907</v>
      </c>
      <c r="J132" s="91">
        <f t="shared" si="94"/>
        <v>78.353171935631451</v>
      </c>
      <c r="K132" s="91">
        <f t="shared" si="94"/>
        <v>82.606388857888618</v>
      </c>
      <c r="L132" s="91">
        <f t="shared" si="94"/>
        <v>87.118215456389976</v>
      </c>
      <c r="M132" s="91">
        <f t="shared" si="94"/>
        <v>91.90591504806315</v>
      </c>
      <c r="N132" s="91">
        <f t="shared" si="94"/>
        <v>96.987999563374785</v>
      </c>
      <c r="O132" s="91">
        <f t="shared" si="94"/>
        <v>102.38432646895544</v>
      </c>
      <c r="P132" s="91">
        <f t="shared" si="94"/>
        <v>108.11620370637513</v>
      </c>
      <c r="Q132" s="91">
        <f t="shared" si="94"/>
        <v>114.20650334942205</v>
      </c>
      <c r="R132" s="78">
        <f>RATE(12,,-E132,Q132)</f>
        <v>5.4462933260325121E-2</v>
      </c>
      <c r="S132" s="61" t="s">
        <v>28</v>
      </c>
      <c r="T132" s="12">
        <v>0.40099999999999997</v>
      </c>
      <c r="U132" s="12">
        <v>0.40265090533119946</v>
      </c>
      <c r="V132" s="12">
        <v>0.40430860739160734</v>
      </c>
      <c r="W132" s="12">
        <v>0.40597313416316017</v>
      </c>
      <c r="X132" s="12">
        <v>0.40764451374299493</v>
      </c>
      <c r="Y132" s="12">
        <v>0.40932277434392395</v>
      </c>
      <c r="Z132" s="12">
        <v>0.41100794429491083</v>
      </c>
      <c r="AA132" s="12">
        <v>0.4127000520415488</v>
      </c>
      <c r="AB132" s="12">
        <v>0.41439912614654062</v>
      </c>
      <c r="AC132" s="12">
        <v>0.41610519529018092</v>
      </c>
      <c r="AD132" s="12">
        <v>0.41781828827084017</v>
      </c>
      <c r="AE132" s="12">
        <v>0.4195384340054511</v>
      </c>
      <c r="AF132" s="12">
        <v>0.4212656615299965</v>
      </c>
      <c r="AG132" s="12">
        <v>0.42299999999999938</v>
      </c>
    </row>
    <row r="133" spans="1:33" x14ac:dyDescent="0.25">
      <c r="A133" s="114"/>
      <c r="B133" s="62" t="s">
        <v>29</v>
      </c>
      <c r="C133" s="47"/>
      <c r="D133" s="97">
        <f>D115*T133</f>
        <v>61.263202000000057</v>
      </c>
      <c r="E133" s="97">
        <f t="shared" ref="E133:Q133" si="95">E115*U133</f>
        <v>64.819478590615788</v>
      </c>
      <c r="F133" s="97">
        <f t="shared" si="95"/>
        <v>68.08349500746553</v>
      </c>
      <c r="G133" s="97">
        <f t="shared" si="95"/>
        <v>71.533932870066238</v>
      </c>
      <c r="H133" s="97">
        <f t="shared" si="95"/>
        <v>75.182570653611478</v>
      </c>
      <c r="I133" s="97">
        <f t="shared" si="95"/>
        <v>79.041997432772106</v>
      </c>
      <c r="J133" s="97">
        <f t="shared" si="95"/>
        <v>83.12567299049482</v>
      </c>
      <c r="K133" s="97">
        <f t="shared" si="95"/>
        <v>87.447992690693439</v>
      </c>
      <c r="L133" s="97">
        <f t="shared" si="95"/>
        <v>92.024357515816334</v>
      </c>
      <c r="M133" s="97">
        <f t="shared" si="95"/>
        <v>96.871249705935611</v>
      </c>
      <c r="N133" s="97">
        <f t="shared" si="95"/>
        <v>102.00631447500339</v>
      </c>
      <c r="O133" s="97">
        <f t="shared" si="95"/>
        <v>107.44844832258512</v>
      </c>
      <c r="P133" s="97">
        <f t="shared" si="95"/>
        <v>113.21789450606926</v>
      </c>
      <c r="Q133" s="97">
        <f t="shared" si="95"/>
        <v>119.33634628946726</v>
      </c>
      <c r="R133" s="83">
        <f>RATE(12,,-E133,Q133)</f>
        <v>5.217731377371642E-2</v>
      </c>
      <c r="S133" s="62" t="s">
        <v>29</v>
      </c>
      <c r="T133" s="12">
        <v>0.43099999999999999</v>
      </c>
      <c r="U133" s="12">
        <v>0.43183634674261745</v>
      </c>
      <c r="V133" s="12">
        <v>0.43267431639909548</v>
      </c>
      <c r="W133" s="12">
        <v>0.43351391211866536</v>
      </c>
      <c r="X133" s="12">
        <v>0.43435513705666956</v>
      </c>
      <c r="Y133" s="12">
        <v>0.43519799437457324</v>
      </c>
      <c r="Z133" s="12">
        <v>0.43604248723997657</v>
      </c>
      <c r="AA133" s="12">
        <v>0.43688861882662616</v>
      </c>
      <c r="AB133" s="12">
        <v>0.43773639231442729</v>
      </c>
      <c r="AC133" s="12">
        <v>0.43858581088945586</v>
      </c>
      <c r="AD133" s="12">
        <v>0.43943687774397006</v>
      </c>
      <c r="AE133" s="12">
        <v>0.44028959607642287</v>
      </c>
      <c r="AF133" s="12">
        <v>0.44114396909147369</v>
      </c>
      <c r="AG133" s="12">
        <v>0.44200000000000028</v>
      </c>
    </row>
    <row r="134" spans="1:33" ht="15.75" thickBot="1" x14ac:dyDescent="0.3">
      <c r="A134" s="115"/>
      <c r="B134" s="63" t="s">
        <v>30</v>
      </c>
      <c r="C134" s="51"/>
      <c r="D134" s="92">
        <f>D115*T134</f>
        <v>23.879856000000029</v>
      </c>
      <c r="E134" s="92">
        <f t="shared" ref="E134:Q134" si="96">E115*U134</f>
        <v>24.843786544604058</v>
      </c>
      <c r="F134" s="92">
        <f t="shared" si="96"/>
        <v>25.651562557713476</v>
      </c>
      <c r="G134" s="92">
        <f t="shared" si="96"/>
        <v>26.486169267179015</v>
      </c>
      <c r="H134" s="92">
        <f t="shared" si="96"/>
        <v>27.348294986320585</v>
      </c>
      <c r="I134" s="92">
        <f t="shared" si="96"/>
        <v>28.238615891286692</v>
      </c>
      <c r="J134" s="92">
        <f t="shared" si="96"/>
        <v>29.157791234391929</v>
      </c>
      <c r="K134" s="92">
        <f t="shared" si="96"/>
        <v>30.106457901886859</v>
      </c>
      <c r="L134" s="92">
        <f t="shared" si="96"/>
        <v>31.085224239854089</v>
      </c>
      <c r="M134" s="92">
        <f t="shared" si="96"/>
        <v>32.094663063412547</v>
      </c>
      <c r="N134" s="92">
        <f t="shared" si="96"/>
        <v>33.135303754954883</v>
      </c>
      <c r="O134" s="92">
        <f t="shared" si="96"/>
        <v>34.207623346631344</v>
      </c>
      <c r="P134" s="92">
        <f t="shared" si="96"/>
        <v>35.312036470613911</v>
      </c>
      <c r="Q134" s="92">
        <f t="shared" si="96"/>
        <v>36.448884047688033</v>
      </c>
      <c r="R134" s="79">
        <f>RATE(12,,-E134,Q134)</f>
        <v>3.245754868831506E-2</v>
      </c>
      <c r="S134" s="63" t="s">
        <v>30</v>
      </c>
      <c r="T134" s="12">
        <f>1-SUM(T132:T133)</f>
        <v>0.16800000000000004</v>
      </c>
      <c r="U134" s="12">
        <f t="shared" ref="U134:AG134" si="97">1-SUM(U132:U133)</f>
        <v>0.16551274792618309</v>
      </c>
      <c r="V134" s="12">
        <f t="shared" si="97"/>
        <v>0.16301707620929717</v>
      </c>
      <c r="W134" s="12">
        <f t="shared" si="97"/>
        <v>0.16051295371817442</v>
      </c>
      <c r="X134" s="12">
        <f t="shared" si="97"/>
        <v>0.15800034920033545</v>
      </c>
      <c r="Y134" s="12">
        <f t="shared" si="97"/>
        <v>0.15547923128150276</v>
      </c>
      <c r="Z134" s="12">
        <f t="shared" si="97"/>
        <v>0.15294956846511254</v>
      </c>
      <c r="AA134" s="12">
        <f t="shared" si="97"/>
        <v>0.15041132913182498</v>
      </c>
      <c r="AB134" s="12">
        <f t="shared" si="97"/>
        <v>0.14786448153903209</v>
      </c>
      <c r="AC134" s="12">
        <f t="shared" si="97"/>
        <v>0.14530899382036322</v>
      </c>
      <c r="AD134" s="12">
        <f t="shared" si="97"/>
        <v>0.14274483398518978</v>
      </c>
      <c r="AE134" s="12">
        <f t="shared" si="97"/>
        <v>0.14017196991812608</v>
      </c>
      <c r="AF134" s="12">
        <f t="shared" si="97"/>
        <v>0.13759036937852986</v>
      </c>
      <c r="AG134" s="12">
        <f t="shared" si="97"/>
        <v>0.13500000000000034</v>
      </c>
    </row>
  </sheetData>
  <mergeCells count="30">
    <mergeCell ref="A30:A32"/>
    <mergeCell ref="A2:R2"/>
    <mergeCell ref="A14:A15"/>
    <mergeCell ref="A17:A18"/>
    <mergeCell ref="A20:A21"/>
    <mergeCell ref="A23:A28"/>
    <mergeCell ref="A81:A83"/>
    <mergeCell ref="A35:R35"/>
    <mergeCell ref="A39:A40"/>
    <mergeCell ref="A42:A43"/>
    <mergeCell ref="A45:A46"/>
    <mergeCell ref="A48:A53"/>
    <mergeCell ref="A55:A57"/>
    <mergeCell ref="A61:R61"/>
    <mergeCell ref="A65:A66"/>
    <mergeCell ref="A68:A69"/>
    <mergeCell ref="A71:A72"/>
    <mergeCell ref="A74:A79"/>
    <mergeCell ref="A132:A134"/>
    <mergeCell ref="A86:R86"/>
    <mergeCell ref="A90:A91"/>
    <mergeCell ref="A93:A94"/>
    <mergeCell ref="A96:A97"/>
    <mergeCell ref="A99:A104"/>
    <mergeCell ref="A106:A108"/>
    <mergeCell ref="A112:R112"/>
    <mergeCell ref="A116:A117"/>
    <mergeCell ref="A119:A120"/>
    <mergeCell ref="A122:A123"/>
    <mergeCell ref="A125:A1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A827-90D7-4047-834C-3800A38E0A01}">
  <dimension ref="A2:AG134"/>
  <sheetViews>
    <sheetView showGridLines="0" topLeftCell="A104" zoomScaleNormal="100" workbookViewId="0">
      <selection activeCell="E123" sqref="E123"/>
    </sheetView>
  </sheetViews>
  <sheetFormatPr defaultRowHeight="15" x14ac:dyDescent="0.25"/>
  <cols>
    <col min="1" max="1" width="15.28515625" customWidth="1"/>
    <col min="2" max="2" width="26.140625" customWidth="1"/>
    <col min="17" max="17" width="11.7109375" customWidth="1"/>
    <col min="18" max="18" width="26.42578125" customWidth="1"/>
    <col min="19" max="19" width="24.28515625" customWidth="1"/>
  </cols>
  <sheetData>
    <row r="2" spans="1:33" ht="26.25" x14ac:dyDescent="0.4">
      <c r="A2" s="109" t="s">
        <v>70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70"/>
    </row>
    <row r="3" spans="1:33" ht="26.25" x14ac:dyDescent="0.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70"/>
    </row>
    <row r="4" spans="1:33" ht="26.25" x14ac:dyDescent="0.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70"/>
    </row>
    <row r="5" spans="1:33" ht="26.25" x14ac:dyDescent="0.4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70"/>
    </row>
    <row r="6" spans="1:33" ht="26.25" x14ac:dyDescent="0.4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70"/>
    </row>
    <row r="7" spans="1:33" ht="26.25" x14ac:dyDescent="0.4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70"/>
    </row>
    <row r="8" spans="1:33" ht="26.25" x14ac:dyDescent="0.4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70"/>
    </row>
    <row r="9" spans="1:33" ht="26.25" x14ac:dyDescent="0.4">
      <c r="A9" s="103"/>
      <c r="B9" s="103"/>
      <c r="C9" s="104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70"/>
    </row>
    <row r="10" spans="1:33" ht="26.25" x14ac:dyDescent="0.4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70"/>
    </row>
    <row r="11" spans="1:33" ht="27" thickBot="1" x14ac:dyDescent="0.4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70"/>
    </row>
    <row r="12" spans="1:33" ht="15.75" x14ac:dyDescent="0.25">
      <c r="A12" s="49"/>
      <c r="B12" s="50"/>
      <c r="C12" s="100"/>
      <c r="D12" s="98">
        <v>2023</v>
      </c>
      <c r="E12" s="72">
        <v>2024</v>
      </c>
      <c r="F12" s="72">
        <v>2025</v>
      </c>
      <c r="G12" s="72">
        <v>2026</v>
      </c>
      <c r="H12" s="72">
        <v>2027</v>
      </c>
      <c r="I12" s="72">
        <v>2028</v>
      </c>
      <c r="J12" s="72">
        <v>2029</v>
      </c>
      <c r="K12" s="72">
        <v>2030</v>
      </c>
      <c r="L12" s="72">
        <v>2031</v>
      </c>
      <c r="M12" s="72">
        <v>2032</v>
      </c>
      <c r="N12" s="72">
        <v>2033</v>
      </c>
      <c r="O12" s="72">
        <v>2034</v>
      </c>
      <c r="P12" s="72">
        <v>2035</v>
      </c>
      <c r="Q12" s="72">
        <v>2036</v>
      </c>
      <c r="R12" s="73" t="s">
        <v>13</v>
      </c>
    </row>
    <row r="13" spans="1:33" ht="16.5" thickBot="1" x14ac:dyDescent="0.3">
      <c r="A13" s="26"/>
      <c r="B13" s="101"/>
      <c r="C13" s="102"/>
      <c r="D13" s="99">
        <f>D38+D64+D89+D115</f>
        <v>546.70000000000005</v>
      </c>
      <c r="E13" s="99">
        <f t="shared" ref="E13:Q13" si="0">E38+E64+E89+E115</f>
        <v>612.44614200000001</v>
      </c>
      <c r="F13" s="99">
        <f t="shared" si="0"/>
        <v>685.3280868315851</v>
      </c>
      <c r="G13" s="99">
        <f t="shared" si="0"/>
        <v>768.2526048093257</v>
      </c>
      <c r="H13" s="99">
        <f t="shared" si="0"/>
        <v>862.77822291097232</v>
      </c>
      <c r="I13" s="99">
        <f t="shared" si="0"/>
        <v>970.73125816614242</v>
      </c>
      <c r="J13" s="99">
        <f t="shared" si="0"/>
        <v>1094.2561566306454</v>
      </c>
      <c r="K13" s="99">
        <f t="shared" si="0"/>
        <v>1235.8760934315867</v>
      </c>
      <c r="L13" s="99">
        <f t="shared" si="0"/>
        <v>1398.5660862862312</v>
      </c>
      <c r="M13" s="99">
        <f t="shared" si="0"/>
        <v>1585.8414043138177</v>
      </c>
      <c r="N13" s="99">
        <f t="shared" si="0"/>
        <v>1801.8647159758802</v>
      </c>
      <c r="O13" s="99">
        <f t="shared" si="0"/>
        <v>2051.5762498372819</v>
      </c>
      <c r="P13" s="99">
        <f t="shared" si="0"/>
        <v>2340.8522846769174</v>
      </c>
      <c r="Q13" s="99">
        <f t="shared" si="0"/>
        <v>2676.698599262656</v>
      </c>
      <c r="R13" s="75">
        <f>RATE(12,,-E13,Q13)</f>
        <v>0.13077872975931201</v>
      </c>
      <c r="T13" s="72">
        <v>2023</v>
      </c>
      <c r="U13" s="72">
        <v>2024</v>
      </c>
      <c r="V13" s="72">
        <v>2025</v>
      </c>
      <c r="W13" s="72">
        <v>2026</v>
      </c>
      <c r="X13" s="72">
        <v>2027</v>
      </c>
      <c r="Y13" s="72">
        <v>2028</v>
      </c>
      <c r="Z13" s="72">
        <v>2029</v>
      </c>
      <c r="AA13" s="72">
        <v>2030</v>
      </c>
      <c r="AB13" s="72">
        <v>2031</v>
      </c>
      <c r="AC13" s="72">
        <v>2032</v>
      </c>
      <c r="AD13" s="72">
        <v>2033</v>
      </c>
      <c r="AE13" s="72">
        <v>2034</v>
      </c>
      <c r="AF13" s="72">
        <v>2035</v>
      </c>
      <c r="AG13" s="72">
        <v>2036</v>
      </c>
    </row>
    <row r="14" spans="1:33" x14ac:dyDescent="0.25">
      <c r="A14" s="110" t="s">
        <v>51</v>
      </c>
      <c r="B14" s="59" t="s">
        <v>34</v>
      </c>
      <c r="C14" s="52"/>
      <c r="D14" s="86">
        <f>D39+D65+D90+D116</f>
        <v>306.15200000000004</v>
      </c>
      <c r="E14" s="86">
        <f t="shared" ref="E14:Q28" si="1">E39+E65</f>
        <v>121.95089691571741</v>
      </c>
      <c r="F14" s="86">
        <f t="shared" si="1"/>
        <v>134.04565304278407</v>
      </c>
      <c r="G14" s="86">
        <f t="shared" si="1"/>
        <v>147.54153151104995</v>
      </c>
      <c r="H14" s="86">
        <f t="shared" si="1"/>
        <v>162.62291452795421</v>
      </c>
      <c r="I14" s="86">
        <f t="shared" si="1"/>
        <v>179.5012656738383</v>
      </c>
      <c r="J14" s="86">
        <f t="shared" si="1"/>
        <v>198.41951061057654</v>
      </c>
      <c r="K14" s="86">
        <f t="shared" si="1"/>
        <v>219.65718985436627</v>
      </c>
      <c r="L14" s="86">
        <f t="shared" si="1"/>
        <v>243.53653053959027</v>
      </c>
      <c r="M14" s="86">
        <f t="shared" si="1"/>
        <v>270.42961406657781</v>
      </c>
      <c r="N14" s="86">
        <f t="shared" si="1"/>
        <v>300.76685300086592</v>
      </c>
      <c r="O14" s="86">
        <f t="shared" si="1"/>
        <v>335.04703507298723</v>
      </c>
      <c r="P14" s="86">
        <f t="shared" si="1"/>
        <v>373.84924647723068</v>
      </c>
      <c r="Q14" s="86">
        <f t="shared" si="1"/>
        <v>417.84705320288032</v>
      </c>
      <c r="R14" s="84">
        <f>RATE(12,,-E14,Q14)</f>
        <v>0.10807552430161411</v>
      </c>
      <c r="S14" s="59" t="s">
        <v>34</v>
      </c>
      <c r="T14" s="12">
        <v>0.56000000000000005</v>
      </c>
      <c r="U14" s="12">
        <v>0.56092161367703952</v>
      </c>
      <c r="V14" s="12">
        <v>0.56184474408938223</v>
      </c>
      <c r="W14" s="12">
        <v>0.56276939373317769</v>
      </c>
      <c r="X14" s="12">
        <v>0.56369556510868446</v>
      </c>
      <c r="Y14" s="12">
        <v>0.56462326072027491</v>
      </c>
      <c r="Z14" s="12">
        <v>0.56555248307644368</v>
      </c>
      <c r="AA14" s="12">
        <v>0.56648323468981299</v>
      </c>
      <c r="AB14" s="12">
        <v>0.56741551807714108</v>
      </c>
      <c r="AC14" s="12">
        <v>0.56834933575932756</v>
      </c>
      <c r="AD14" s="12">
        <v>0.56928469026142059</v>
      </c>
      <c r="AE14" s="12">
        <v>0.57022158411262425</v>
      </c>
      <c r="AF14" s="12">
        <v>0.57116001984630527</v>
      </c>
      <c r="AG14" s="12">
        <v>0.57209999999999905</v>
      </c>
    </row>
    <row r="15" spans="1:33" ht="15.75" thickBot="1" x14ac:dyDescent="0.3">
      <c r="A15" s="111"/>
      <c r="B15" s="60" t="s">
        <v>35</v>
      </c>
      <c r="C15" s="53"/>
      <c r="D15" s="87">
        <f>D40+D66+D91+D117</f>
        <v>240.548</v>
      </c>
      <c r="E15" s="87">
        <f t="shared" si="1"/>
        <v>95.460759084282586</v>
      </c>
      <c r="F15" s="87">
        <f t="shared" si="1"/>
        <v>104.53565336427405</v>
      </c>
      <c r="G15" s="87">
        <f t="shared" si="1"/>
        <v>114.62896523953009</v>
      </c>
      <c r="H15" s="87">
        <f t="shared" si="1"/>
        <v>125.87130929408235</v>
      </c>
      <c r="I15" s="87">
        <f t="shared" si="1"/>
        <v>138.41207258440721</v>
      </c>
      <c r="J15" s="87">
        <f t="shared" si="1"/>
        <v>152.42239451418072</v>
      </c>
      <c r="K15" s="87">
        <f t="shared" si="1"/>
        <v>168.09866310506524</v>
      </c>
      <c r="L15" s="87">
        <f t="shared" si="1"/>
        <v>185.66662443383626</v>
      </c>
      <c r="M15" s="87">
        <f t="shared" si="1"/>
        <v>205.38622146224839</v>
      </c>
      <c r="N15" s="87">
        <f t="shared" si="1"/>
        <v>227.55730211166858</v>
      </c>
      <c r="O15" s="87">
        <f t="shared" si="1"/>
        <v>252.52636517699739</v>
      </c>
      <c r="P15" s="87">
        <f t="shared" si="1"/>
        <v>280.69454770820727</v>
      </c>
      <c r="Q15" s="87">
        <f t="shared" si="1"/>
        <v>312.52710027182866</v>
      </c>
      <c r="R15" s="85">
        <f>RATE(12,,-E15,Q15)</f>
        <v>0.10388008898597716</v>
      </c>
      <c r="S15" s="60" t="s">
        <v>35</v>
      </c>
      <c r="T15" s="12">
        <f>1-T14</f>
        <v>0.43999999999999995</v>
      </c>
      <c r="U15" s="12">
        <f t="shared" ref="U15:AG15" si="2">1-U14</f>
        <v>0.43907838632296048</v>
      </c>
      <c r="V15" s="12">
        <f t="shared" si="2"/>
        <v>0.43815525591061777</v>
      </c>
      <c r="W15" s="12">
        <f t="shared" si="2"/>
        <v>0.43723060626682231</v>
      </c>
      <c r="X15" s="12">
        <f t="shared" si="2"/>
        <v>0.43630443489131554</v>
      </c>
      <c r="Y15" s="12">
        <f t="shared" si="2"/>
        <v>0.43537673927972509</v>
      </c>
      <c r="Z15" s="12">
        <f t="shared" si="2"/>
        <v>0.43444751692355632</v>
      </c>
      <c r="AA15" s="12">
        <f t="shared" si="2"/>
        <v>0.43351676531018701</v>
      </c>
      <c r="AB15" s="12">
        <f t="shared" si="2"/>
        <v>0.43258448192285892</v>
      </c>
      <c r="AC15" s="12">
        <f t="shared" si="2"/>
        <v>0.43165066424067244</v>
      </c>
      <c r="AD15" s="12">
        <f t="shared" si="2"/>
        <v>0.43071530973857941</v>
      </c>
      <c r="AE15" s="12">
        <f t="shared" si="2"/>
        <v>0.42977841588737575</v>
      </c>
      <c r="AF15" s="12">
        <f t="shared" si="2"/>
        <v>0.42883998015369473</v>
      </c>
      <c r="AG15" s="12">
        <f t="shared" si="2"/>
        <v>0.42790000000000095</v>
      </c>
    </row>
    <row r="16" spans="1:33" ht="15.75" thickBot="1" x14ac:dyDescent="0.3">
      <c r="A16" s="1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21"/>
    </row>
    <row r="17" spans="1:33" x14ac:dyDescent="0.25">
      <c r="A17" s="110" t="s">
        <v>15</v>
      </c>
      <c r="B17" s="64" t="s">
        <v>16</v>
      </c>
      <c r="C17" s="54"/>
      <c r="D17" s="89">
        <f>D42+D68+D93+D119</f>
        <v>257.4957</v>
      </c>
      <c r="E17" s="89">
        <f t="shared" si="1"/>
        <v>102.26709818769228</v>
      </c>
      <c r="F17" s="89">
        <f t="shared" si="1"/>
        <v>112.07815678676184</v>
      </c>
      <c r="G17" s="89">
        <f t="shared" si="1"/>
        <v>122.99829689859902</v>
      </c>
      <c r="H17" s="89">
        <f t="shared" si="1"/>
        <v>135.1706397923096</v>
      </c>
      <c r="I17" s="89">
        <f t="shared" si="1"/>
        <v>148.75898743268519</v>
      </c>
      <c r="J17" s="89">
        <f t="shared" si="1"/>
        <v>163.95112104868463</v>
      </c>
      <c r="K17" s="89">
        <f t="shared" si="1"/>
        <v>180.9626738388362</v>
      </c>
      <c r="L17" s="89">
        <f t="shared" si="1"/>
        <v>200.0416858449224</v>
      </c>
      <c r="M17" s="89">
        <f t="shared" si="1"/>
        <v>221.47397082960978</v>
      </c>
      <c r="N17" s="89">
        <f t="shared" si="1"/>
        <v>245.58945148808044</v>
      </c>
      <c r="O17" s="89">
        <f t="shared" si="1"/>
        <v>272.769651577589</v>
      </c>
      <c r="P17" s="89">
        <f t="shared" si="1"/>
        <v>303.45657288889493</v>
      </c>
      <c r="Q17" s="89">
        <f t="shared" si="1"/>
        <v>338.16323305879018</v>
      </c>
      <c r="R17" s="76">
        <f>RATE(12,,-E17,Q17)</f>
        <v>0.10479713113386155</v>
      </c>
      <c r="S17" s="64" t="s">
        <v>16</v>
      </c>
      <c r="T17" s="12">
        <v>0.47099999999999992</v>
      </c>
      <c r="U17" s="12">
        <v>0.47038461538461535</v>
      </c>
      <c r="V17" s="12">
        <v>0.46976923076923072</v>
      </c>
      <c r="W17" s="12">
        <v>0.46915384615384609</v>
      </c>
      <c r="X17" s="12">
        <v>0.46853846153846151</v>
      </c>
      <c r="Y17" s="12">
        <v>0.46792307692307689</v>
      </c>
      <c r="Z17" s="12">
        <v>0.46730769230769226</v>
      </c>
      <c r="AA17" s="12">
        <v>0.46669230769230763</v>
      </c>
      <c r="AB17" s="12">
        <v>0.46607692307692306</v>
      </c>
      <c r="AC17" s="12">
        <v>0.46546153846153843</v>
      </c>
      <c r="AD17" s="12">
        <v>0.4648461538461538</v>
      </c>
      <c r="AE17" s="12">
        <v>0.46423076923076922</v>
      </c>
      <c r="AF17" s="12">
        <v>0.4636153846153846</v>
      </c>
      <c r="AG17" s="12">
        <v>0.46299999999999997</v>
      </c>
    </row>
    <row r="18" spans="1:33" ht="15.75" thickBot="1" x14ac:dyDescent="0.3">
      <c r="A18" s="111"/>
      <c r="B18" s="65" t="s">
        <v>17</v>
      </c>
      <c r="C18" s="55"/>
      <c r="D18" s="90">
        <f>D43+D69+D94+D120</f>
        <v>289.2043000000001</v>
      </c>
      <c r="E18" s="90">
        <f t="shared" si="1"/>
        <v>115.14455781230768</v>
      </c>
      <c r="F18" s="90">
        <f t="shared" si="1"/>
        <v>126.50314962029628</v>
      </c>
      <c r="G18" s="90">
        <f t="shared" si="1"/>
        <v>139.17219985198102</v>
      </c>
      <c r="H18" s="90">
        <f t="shared" si="1"/>
        <v>153.32358402972696</v>
      </c>
      <c r="I18" s="90">
        <f t="shared" si="1"/>
        <v>169.15435082556033</v>
      </c>
      <c r="J18" s="90">
        <f t="shared" si="1"/>
        <v>186.89078407607266</v>
      </c>
      <c r="K18" s="90">
        <f t="shared" si="1"/>
        <v>206.79317912059528</v>
      </c>
      <c r="L18" s="90">
        <f t="shared" si="1"/>
        <v>229.16146912850414</v>
      </c>
      <c r="M18" s="90">
        <f t="shared" si="1"/>
        <v>254.34186469921644</v>
      </c>
      <c r="N18" s="90">
        <f t="shared" si="1"/>
        <v>282.73470362445408</v>
      </c>
      <c r="O18" s="90">
        <f t="shared" si="1"/>
        <v>314.80374867239561</v>
      </c>
      <c r="P18" s="90">
        <f t="shared" si="1"/>
        <v>351.08722129654302</v>
      </c>
      <c r="Q18" s="90">
        <f t="shared" si="1"/>
        <v>392.21092041591874</v>
      </c>
      <c r="R18" s="77">
        <f>RATE(12,,-E18,Q18)</f>
        <v>0.10753218429949132</v>
      </c>
      <c r="S18" s="65" t="s">
        <v>17</v>
      </c>
      <c r="T18" s="12">
        <f>1-T17</f>
        <v>0.52900000000000014</v>
      </c>
      <c r="U18" s="12">
        <f t="shared" ref="U18:AG18" si="3">1-U17</f>
        <v>0.5296153846153846</v>
      </c>
      <c r="V18" s="12">
        <f t="shared" si="3"/>
        <v>0.53023076923076928</v>
      </c>
      <c r="W18" s="12">
        <f t="shared" si="3"/>
        <v>0.53084615384615397</v>
      </c>
      <c r="X18" s="12">
        <f t="shared" si="3"/>
        <v>0.53146153846153843</v>
      </c>
      <c r="Y18" s="12">
        <f t="shared" si="3"/>
        <v>0.53207692307692311</v>
      </c>
      <c r="Z18" s="12">
        <f t="shared" si="3"/>
        <v>0.5326923076923078</v>
      </c>
      <c r="AA18" s="12">
        <f t="shared" si="3"/>
        <v>0.53330769230769237</v>
      </c>
      <c r="AB18" s="12">
        <f t="shared" si="3"/>
        <v>0.53392307692307694</v>
      </c>
      <c r="AC18" s="12">
        <f t="shared" si="3"/>
        <v>0.53453846153846163</v>
      </c>
      <c r="AD18" s="12">
        <f t="shared" si="3"/>
        <v>0.5351538461538462</v>
      </c>
      <c r="AE18" s="12">
        <f t="shared" si="3"/>
        <v>0.53576923076923078</v>
      </c>
      <c r="AF18" s="12">
        <f t="shared" si="3"/>
        <v>0.53638461538461546</v>
      </c>
      <c r="AG18" s="12">
        <f t="shared" si="3"/>
        <v>0.53700000000000003</v>
      </c>
    </row>
    <row r="19" spans="1:33" ht="15.75" thickBot="1" x14ac:dyDescent="0.3">
      <c r="A19" s="1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21"/>
    </row>
    <row r="20" spans="1:33" x14ac:dyDescent="0.25">
      <c r="A20" s="110" t="s">
        <v>18</v>
      </c>
      <c r="B20" s="61" t="s">
        <v>19</v>
      </c>
      <c r="C20" s="56"/>
      <c r="D20" s="91">
        <f>D45+D71+D96+D122</f>
        <v>219.22669999999999</v>
      </c>
      <c r="E20" s="91">
        <f t="shared" si="1"/>
        <v>87.541000117955292</v>
      </c>
      <c r="F20" s="91">
        <f t="shared" si="1"/>
        <v>96.460475743108034</v>
      </c>
      <c r="G20" s="91">
        <f t="shared" si="1"/>
        <v>106.43417825094558</v>
      </c>
      <c r="H20" s="91">
        <f t="shared" si="1"/>
        <v>117.60308758759683</v>
      </c>
      <c r="I20" s="91">
        <f t="shared" si="1"/>
        <v>130.12916961680338</v>
      </c>
      <c r="J20" s="91">
        <f t="shared" si="1"/>
        <v>144.19881019783662</v>
      </c>
      <c r="K20" s="91">
        <f t="shared" si="1"/>
        <v>160.02686069577251</v>
      </c>
      <c r="L20" s="91">
        <f t="shared" si="1"/>
        <v>177.8614123603262</v>
      </c>
      <c r="M20" s="91">
        <f t="shared" si="1"/>
        <v>197.98944116488281</v>
      </c>
      <c r="N20" s="91">
        <f t="shared" si="1"/>
        <v>220.743494141257</v>
      </c>
      <c r="O20" s="91">
        <f t="shared" si="1"/>
        <v>246.50962420413668</v>
      </c>
      <c r="P20" s="91">
        <f t="shared" si="1"/>
        <v>275.73682445788239</v>
      </c>
      <c r="Q20" s="91">
        <f t="shared" si="1"/>
        <v>308.94826691980143</v>
      </c>
      <c r="R20" s="78">
        <f>RATE(12,,-E20,Q20)</f>
        <v>0.11080933706390461</v>
      </c>
      <c r="S20" s="61" t="s">
        <v>19</v>
      </c>
      <c r="T20" s="12">
        <v>0.40099999999999997</v>
      </c>
      <c r="U20" s="12">
        <v>0.40265090533119946</v>
      </c>
      <c r="V20" s="12">
        <v>0.40430860739160734</v>
      </c>
      <c r="W20" s="12">
        <v>0.40597313416316017</v>
      </c>
      <c r="X20" s="12">
        <v>0.40764451374299493</v>
      </c>
      <c r="Y20" s="12">
        <v>0.40932277434392395</v>
      </c>
      <c r="Z20" s="12">
        <v>0.41100794429491083</v>
      </c>
      <c r="AA20" s="12">
        <v>0.4127000520415488</v>
      </c>
      <c r="AB20" s="12">
        <v>0.41439912614654062</v>
      </c>
      <c r="AC20" s="12">
        <v>0.41610519529018092</v>
      </c>
      <c r="AD20" s="12">
        <v>0.41781828827084017</v>
      </c>
      <c r="AE20" s="12">
        <v>0.4195384340054511</v>
      </c>
      <c r="AF20" s="12">
        <v>0.4212656615299965</v>
      </c>
      <c r="AG20" s="12">
        <v>0.42299999999999938</v>
      </c>
    </row>
    <row r="21" spans="1:33" ht="15.75" thickBot="1" x14ac:dyDescent="0.3">
      <c r="A21" s="111"/>
      <c r="B21" s="63" t="s">
        <v>20</v>
      </c>
      <c r="C21" s="51"/>
      <c r="D21" s="92">
        <f>D46+D72+D97+D123</f>
        <v>327.47329999999999</v>
      </c>
      <c r="E21" s="92">
        <f t="shared" si="1"/>
        <v>129.87065588204467</v>
      </c>
      <c r="F21" s="92">
        <f t="shared" si="1"/>
        <v>142.12083066395007</v>
      </c>
      <c r="G21" s="92">
        <f t="shared" si="1"/>
        <v>155.73631849963445</v>
      </c>
      <c r="H21" s="92">
        <f t="shared" si="1"/>
        <v>170.89113623443973</v>
      </c>
      <c r="I21" s="92">
        <f t="shared" si="1"/>
        <v>187.78416864144211</v>
      </c>
      <c r="J21" s="92">
        <f t="shared" si="1"/>
        <v>206.64309492692064</v>
      </c>
      <c r="K21" s="92">
        <f t="shared" si="1"/>
        <v>227.72899226365894</v>
      </c>
      <c r="L21" s="92">
        <f t="shared" si="1"/>
        <v>251.34174261310034</v>
      </c>
      <c r="M21" s="92">
        <f t="shared" si="1"/>
        <v>277.82639436394339</v>
      </c>
      <c r="N21" s="92">
        <f t="shared" si="1"/>
        <v>307.5806609712775</v>
      </c>
      <c r="O21" s="92">
        <f t="shared" si="1"/>
        <v>341.06377604584793</v>
      </c>
      <c r="P21" s="92">
        <f t="shared" si="1"/>
        <v>378.8069697275555</v>
      </c>
      <c r="Q21" s="92">
        <f t="shared" si="1"/>
        <v>421.42588655490749</v>
      </c>
      <c r="R21" s="79">
        <f>RATE(12,,-E21,Q21)</f>
        <v>0.10306434774501765</v>
      </c>
      <c r="S21" s="63" t="s">
        <v>20</v>
      </c>
      <c r="T21" s="12">
        <f>1-T20</f>
        <v>0.59899999999999998</v>
      </c>
      <c r="U21" s="12">
        <f t="shared" ref="U21:AG21" si="4">1-U20</f>
        <v>0.59734909466880048</v>
      </c>
      <c r="V21" s="12">
        <f t="shared" si="4"/>
        <v>0.59569139260839266</v>
      </c>
      <c r="W21" s="12">
        <f t="shared" si="4"/>
        <v>0.59402686583683983</v>
      </c>
      <c r="X21" s="12">
        <f t="shared" si="4"/>
        <v>0.59235548625700507</v>
      </c>
      <c r="Y21" s="12">
        <f t="shared" si="4"/>
        <v>0.59067722565607605</v>
      </c>
      <c r="Z21" s="12">
        <f t="shared" si="4"/>
        <v>0.58899205570508917</v>
      </c>
      <c r="AA21" s="12">
        <f t="shared" si="4"/>
        <v>0.5872999479584512</v>
      </c>
      <c r="AB21" s="12">
        <f t="shared" si="4"/>
        <v>0.58560087385345938</v>
      </c>
      <c r="AC21" s="12">
        <f t="shared" si="4"/>
        <v>0.58389480470981914</v>
      </c>
      <c r="AD21" s="12">
        <f t="shared" si="4"/>
        <v>0.58218171172915989</v>
      </c>
      <c r="AE21" s="12">
        <f t="shared" si="4"/>
        <v>0.5804615659945489</v>
      </c>
      <c r="AF21" s="12">
        <f t="shared" si="4"/>
        <v>0.57873433847000344</v>
      </c>
      <c r="AG21" s="12">
        <f t="shared" si="4"/>
        <v>0.57700000000000062</v>
      </c>
    </row>
    <row r="22" spans="1:33" ht="15.75" thickBot="1" x14ac:dyDescent="0.3">
      <c r="A22" s="2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21"/>
    </row>
    <row r="23" spans="1:33" x14ac:dyDescent="0.25">
      <c r="A23" s="110" t="s">
        <v>14</v>
      </c>
      <c r="B23" s="66" t="s">
        <v>21</v>
      </c>
      <c r="C23" s="57"/>
      <c r="D23" s="93">
        <f t="shared" ref="D23:D28" si="5">D48+D74+D99+D125</f>
        <v>136.67500000000001</v>
      </c>
      <c r="E23" s="93">
        <f t="shared" si="1"/>
        <v>54.691192490437146</v>
      </c>
      <c r="F23" s="93">
        <f t="shared" si="1"/>
        <v>60.390071158583432</v>
      </c>
      <c r="G23" s="93">
        <f t="shared" si="1"/>
        <v>66.774017425778254</v>
      </c>
      <c r="H23" s="93">
        <f t="shared" si="1"/>
        <v>73.935901324998923</v>
      </c>
      <c r="I23" s="93">
        <f t="shared" si="1"/>
        <v>81.982575740101794</v>
      </c>
      <c r="J23" s="93">
        <f t="shared" si="1"/>
        <v>91.037187109681398</v>
      </c>
      <c r="K23" s="93">
        <f t="shared" si="1"/>
        <v>101.24190113969567</v>
      </c>
      <c r="L23" s="93">
        <f t="shared" si="1"/>
        <v>112.76112386346884</v>
      </c>
      <c r="M23" s="93">
        <f t="shared" si="1"/>
        <v>125.78531503246252</v>
      </c>
      <c r="N23" s="93">
        <f t="shared" si="1"/>
        <v>140.5355111347537</v>
      </c>
      <c r="O23" s="93">
        <f t="shared" si="1"/>
        <v>157.26870017644984</v>
      </c>
      <c r="P23" s="93">
        <f t="shared" si="1"/>
        <v>176.28422079077865</v>
      </c>
      <c r="Q23" s="93">
        <f t="shared" si="1"/>
        <v>197.93139559164621</v>
      </c>
      <c r="R23" s="80">
        <f t="shared" ref="R23:R28" si="6">RATE(12,,-E23,Q23)</f>
        <v>0.11313996247989366</v>
      </c>
      <c r="S23" s="66" t="s">
        <v>21</v>
      </c>
      <c r="T23" s="12">
        <v>0.25</v>
      </c>
      <c r="U23" s="12">
        <v>0.25155593539307364</v>
      </c>
      <c r="V23" s="12">
        <v>0.25312155452593693</v>
      </c>
      <c r="W23" s="12">
        <v>0.25469691766768382</v>
      </c>
      <c r="X23" s="12">
        <v>0.25628208546250747</v>
      </c>
      <c r="Y23" s="12">
        <v>0.2578771189320348</v>
      </c>
      <c r="Z23" s="12">
        <v>0.25948207947767565</v>
      </c>
      <c r="AA23" s="12">
        <v>0.2610970288829863</v>
      </c>
      <c r="AB23" s="12">
        <v>0.26272202931604799</v>
      </c>
      <c r="AC23" s="12">
        <v>0.26435714333185978</v>
      </c>
      <c r="AD23" s="12">
        <v>0.26600243387474731</v>
      </c>
      <c r="AE23" s="12">
        <v>0.26765796428078514</v>
      </c>
      <c r="AF23" s="12">
        <v>0.26932379828023517</v>
      </c>
      <c r="AG23" s="12">
        <v>0.27100000000000013</v>
      </c>
    </row>
    <row r="24" spans="1:33" x14ac:dyDescent="0.25">
      <c r="A24" s="112"/>
      <c r="B24" s="67" t="s">
        <v>22</v>
      </c>
      <c r="C24" s="48"/>
      <c r="D24" s="94">
        <f t="shared" si="5"/>
        <v>207.74600000000004</v>
      </c>
      <c r="E24" s="94">
        <f t="shared" si="1"/>
        <v>82.814249836985596</v>
      </c>
      <c r="F24" s="94">
        <f t="shared" si="1"/>
        <v>91.095581421340128</v>
      </c>
      <c r="G24" s="94">
        <f t="shared" si="1"/>
        <v>100.34214214293731</v>
      </c>
      <c r="H24" s="94">
        <f t="shared" si="1"/>
        <v>110.68157361917162</v>
      </c>
      <c r="I24" s="94">
        <f t="shared" si="1"/>
        <v>122.26034131134828</v>
      </c>
      <c r="J24" s="94">
        <f t="shared" si="1"/>
        <v>135.24679014793668</v>
      </c>
      <c r="K24" s="94">
        <f t="shared" si="1"/>
        <v>149.83474034323251</v>
      </c>
      <c r="L24" s="94">
        <f t="shared" si="1"/>
        <v>166.24772650049215</v>
      </c>
      <c r="M24" s="94">
        <f t="shared" si="1"/>
        <v>184.74400416789246</v>
      </c>
      <c r="N24" s="94">
        <f t="shared" si="1"/>
        <v>205.62247368456218</v>
      </c>
      <c r="O24" s="94">
        <f t="shared" si="1"/>
        <v>229.22970247095492</v>
      </c>
      <c r="P24" s="94">
        <f t="shared" si="1"/>
        <v>255.968265199</v>
      </c>
      <c r="Q24" s="94">
        <f t="shared" si="1"/>
        <v>286.30666816208588</v>
      </c>
      <c r="R24" s="81">
        <f t="shared" si="6"/>
        <v>0.10890378513750544</v>
      </c>
      <c r="S24" s="67" t="s">
        <v>22</v>
      </c>
      <c r="T24" s="12">
        <v>0.38</v>
      </c>
      <c r="U24" s="12">
        <v>0.38090988938047371</v>
      </c>
      <c r="V24" s="12">
        <v>0.38182195744169661</v>
      </c>
      <c r="W24" s="12">
        <v>0.38273620940040159</v>
      </c>
      <c r="X24" s="12">
        <v>0.38365265048581265</v>
      </c>
      <c r="Y24" s="12">
        <v>0.38457128593967477</v>
      </c>
      <c r="Z24" s="12">
        <v>0.38549212101628438</v>
      </c>
      <c r="AA24" s="12">
        <v>0.38641516098251855</v>
      </c>
      <c r="AB24" s="12">
        <v>0.38734041111786593</v>
      </c>
      <c r="AC24" s="12">
        <v>0.38826787671445667</v>
      </c>
      <c r="AD24" s="12">
        <v>0.38919756307709236</v>
      </c>
      <c r="AE24" s="12">
        <v>0.39012947552327681</v>
      </c>
      <c r="AF24" s="12">
        <v>0.3910636193832463</v>
      </c>
      <c r="AG24" s="12">
        <v>0.39200000000000002</v>
      </c>
    </row>
    <row r="25" spans="1:33" x14ac:dyDescent="0.25">
      <c r="A25" s="112"/>
      <c r="B25" s="68" t="s">
        <v>23</v>
      </c>
      <c r="C25" s="48"/>
      <c r="D25" s="95">
        <f t="shared" si="5"/>
        <v>72.711099999999988</v>
      </c>
      <c r="E25" s="95">
        <f t="shared" si="1"/>
        <v>28.934129876464155</v>
      </c>
      <c r="F25" s="95">
        <f t="shared" si="1"/>
        <v>31.771665124961036</v>
      </c>
      <c r="G25" s="95">
        <f t="shared" si="1"/>
        <v>34.935208744477464</v>
      </c>
      <c r="H25" s="95">
        <f t="shared" si="1"/>
        <v>38.467380154366978</v>
      </c>
      <c r="I25" s="95">
        <f t="shared" si="1"/>
        <v>42.417024314937578</v>
      </c>
      <c r="J25" s="95">
        <f t="shared" si="1"/>
        <v>46.840214038740015</v>
      </c>
      <c r="K25" s="95">
        <f t="shared" si="1"/>
        <v>51.801428216052564</v>
      </c>
      <c r="L25" s="95">
        <f t="shared" si="1"/>
        <v>57.374939305736447</v>
      </c>
      <c r="M25" s="95">
        <f t="shared" si="1"/>
        <v>63.646450221075916</v>
      </c>
      <c r="N25" s="95">
        <f t="shared" si="1"/>
        <v>70.715028986233776</v>
      </c>
      <c r="O25" s="95">
        <f t="shared" si="1"/>
        <v>78.695399589232736</v>
      </c>
      <c r="P25" s="95">
        <f t="shared" si="1"/>
        <v>87.720659730087476</v>
      </c>
      <c r="Q25" s="95">
        <f t="shared" si="1"/>
        <v>97.945511178249532</v>
      </c>
      <c r="R25" s="81">
        <f t="shared" si="6"/>
        <v>0.10695808313488278</v>
      </c>
      <c r="S25" s="68" t="s">
        <v>23</v>
      </c>
      <c r="T25" s="74">
        <v>0.34999999999999987</v>
      </c>
      <c r="U25" s="74">
        <v>0.34938588387166564</v>
      </c>
      <c r="V25" s="74">
        <v>0.34877284528224306</v>
      </c>
      <c r="W25" s="74">
        <v>0.34816088234106346</v>
      </c>
      <c r="X25" s="74">
        <v>0.34754999316077562</v>
      </c>
      <c r="Y25" s="74">
        <v>0.34694017585733994</v>
      </c>
      <c r="Z25" s="74">
        <v>0.34633142855002247</v>
      </c>
      <c r="AA25" s="74">
        <v>0.34572374936138933</v>
      </c>
      <c r="AB25" s="74">
        <v>0.34511713641730069</v>
      </c>
      <c r="AC25" s="74">
        <v>0.34451158784690528</v>
      </c>
      <c r="AD25" s="74">
        <v>0.34390710178263434</v>
      </c>
      <c r="AE25" s="74">
        <v>0.34330367636019604</v>
      </c>
      <c r="AF25" s="74">
        <v>0.34270130971856966</v>
      </c>
      <c r="AG25" s="74">
        <v>0.34209999999999979</v>
      </c>
    </row>
    <row r="26" spans="1:33" x14ac:dyDescent="0.25">
      <c r="A26" s="112"/>
      <c r="B26" s="68" t="s">
        <v>24</v>
      </c>
      <c r="C26" s="48"/>
      <c r="D26" s="95">
        <f t="shared" si="5"/>
        <v>58.168880000000009</v>
      </c>
      <c r="E26" s="95">
        <f t="shared" si="1"/>
        <v>23.269080699275861</v>
      </c>
      <c r="F26" s="95">
        <f t="shared" si="1"/>
        <v>25.685474194353681</v>
      </c>
      <c r="G26" s="95">
        <f t="shared" si="1"/>
        <v>28.391593368824985</v>
      </c>
      <c r="H26" s="95">
        <f t="shared" si="1"/>
        <v>31.426632384643298</v>
      </c>
      <c r="I26" s="95">
        <f t="shared" si="1"/>
        <v>34.835676301454519</v>
      </c>
      <c r="J26" s="95">
        <f t="shared" si="1"/>
        <v>38.67067309508203</v>
      </c>
      <c r="K26" s="95">
        <f t="shared" si="1"/>
        <v>42.991580020174922</v>
      </c>
      <c r="L26" s="95">
        <f t="shared" si="1"/>
        <v>47.867718026332142</v>
      </c>
      <c r="M26" s="95">
        <f t="shared" si="1"/>
        <v>53.379374913247119</v>
      </c>
      <c r="N26" s="95">
        <f t="shared" si="1"/>
        <v>59.619706422729621</v>
      </c>
      <c r="O26" s="95">
        <f t="shared" si="1"/>
        <v>66.696994871890524</v>
      </c>
      <c r="P26" s="95">
        <f t="shared" si="1"/>
        <v>74.737337678326966</v>
      </c>
      <c r="Q26" s="95">
        <f t="shared" si="1"/>
        <v>83.887853771491081</v>
      </c>
      <c r="R26" s="81">
        <f t="shared" si="6"/>
        <v>0.11278173376627347</v>
      </c>
      <c r="S26" s="68" t="s">
        <v>24</v>
      </c>
      <c r="T26" s="74">
        <v>0.28000000000000003</v>
      </c>
      <c r="U26" s="74">
        <v>0.28097918830490543</v>
      </c>
      <c r="V26" s="74">
        <v>0.28196180093029821</v>
      </c>
      <c r="W26" s="74">
        <v>0.28294784985137333</v>
      </c>
      <c r="X26" s="74">
        <v>0.28393734708520407</v>
      </c>
      <c r="Y26" s="74">
        <v>0.28493030469088876</v>
      </c>
      <c r="Z26" s="74">
        <v>0.28592673476969749</v>
      </c>
      <c r="AA26" s="74">
        <v>0.28692664946521995</v>
      </c>
      <c r="AB26" s="74">
        <v>0.28793006096351298</v>
      </c>
      <c r="AC26" s="74">
        <v>0.28893698149324931</v>
      </c>
      <c r="AD26" s="74">
        <v>0.28994742332586665</v>
      </c>
      <c r="AE26" s="74">
        <v>0.29096139877571725</v>
      </c>
      <c r="AF26" s="74">
        <v>0.29197892020021765</v>
      </c>
      <c r="AG26" s="74">
        <v>0.29299999999999965</v>
      </c>
    </row>
    <row r="27" spans="1:33" x14ac:dyDescent="0.25">
      <c r="A27" s="112"/>
      <c r="B27" s="68" t="s">
        <v>25</v>
      </c>
      <c r="C27" s="48"/>
      <c r="D27" s="95">
        <f t="shared" si="5"/>
        <v>76.86602000000002</v>
      </c>
      <c r="E27" s="95">
        <f t="shared" si="1"/>
        <v>30.611039261245587</v>
      </c>
      <c r="F27" s="95">
        <f t="shared" si="1"/>
        <v>33.638442102025415</v>
      </c>
      <c r="G27" s="95">
        <f t="shared" si="1"/>
        <v>37.015340029634856</v>
      </c>
      <c r="H27" s="95">
        <f t="shared" si="1"/>
        <v>40.787561080161332</v>
      </c>
      <c r="I27" s="95">
        <f t="shared" si="1"/>
        <v>45.007640694956187</v>
      </c>
      <c r="J27" s="95">
        <f t="shared" si="1"/>
        <v>49.735903014114648</v>
      </c>
      <c r="K27" s="95">
        <f t="shared" si="1"/>
        <v>55.041732107005018</v>
      </c>
      <c r="L27" s="95">
        <f t="shared" si="1"/>
        <v>61.005069168423589</v>
      </c>
      <c r="M27" s="95">
        <f t="shared" si="1"/>
        <v>67.718179033569427</v>
      </c>
      <c r="N27" s="95">
        <f t="shared" si="1"/>
        <v>75.28773827559877</v>
      </c>
      <c r="O27" s="95">
        <f t="shared" si="1"/>
        <v>83.837308009831631</v>
      </c>
      <c r="P27" s="95">
        <f t="shared" si="1"/>
        <v>93.510267790585573</v>
      </c>
      <c r="Q27" s="95">
        <f t="shared" si="1"/>
        <v>104.47330321234531</v>
      </c>
      <c r="R27" s="81">
        <f t="shared" si="6"/>
        <v>0.10771304698973767</v>
      </c>
      <c r="S27" s="68" t="s">
        <v>25</v>
      </c>
      <c r="T27" s="74">
        <f>1-SUM(T25:T26)</f>
        <v>0.37000000000000011</v>
      </c>
      <c r="U27" s="74">
        <f t="shared" ref="U27:AG27" si="7">1-SUM(U25:U26)</f>
        <v>0.36963492782342899</v>
      </c>
      <c r="V27" s="74">
        <f t="shared" si="7"/>
        <v>0.36926535378745873</v>
      </c>
      <c r="W27" s="74">
        <f t="shared" si="7"/>
        <v>0.36889126780756321</v>
      </c>
      <c r="X27" s="74">
        <f t="shared" si="7"/>
        <v>0.36851265975402026</v>
      </c>
      <c r="Y27" s="74">
        <f t="shared" si="7"/>
        <v>0.3681295194517713</v>
      </c>
      <c r="Z27" s="74">
        <f t="shared" si="7"/>
        <v>0.36774183668028004</v>
      </c>
      <c r="AA27" s="74">
        <f t="shared" si="7"/>
        <v>0.36734960117339077</v>
      </c>
      <c r="AB27" s="74">
        <f t="shared" si="7"/>
        <v>0.36695280261918639</v>
      </c>
      <c r="AC27" s="74">
        <f t="shared" si="7"/>
        <v>0.36655143065984541</v>
      </c>
      <c r="AD27" s="74">
        <f t="shared" si="7"/>
        <v>0.36614547489149896</v>
      </c>
      <c r="AE27" s="74">
        <f t="shared" si="7"/>
        <v>0.36573492486408665</v>
      </c>
      <c r="AF27" s="74">
        <f t="shared" si="7"/>
        <v>0.36531977008121275</v>
      </c>
      <c r="AG27" s="74">
        <f t="shared" si="7"/>
        <v>0.36490000000000056</v>
      </c>
    </row>
    <row r="28" spans="1:33" ht="15.75" thickBot="1" x14ac:dyDescent="0.3">
      <c r="A28" s="111"/>
      <c r="B28" s="69" t="s">
        <v>26</v>
      </c>
      <c r="C28" s="58"/>
      <c r="D28" s="96">
        <f t="shared" si="5"/>
        <v>202.279</v>
      </c>
      <c r="E28" s="96">
        <f t="shared" si="1"/>
        <v>79.906213672577252</v>
      </c>
      <c r="F28" s="96">
        <f t="shared" si="1"/>
        <v>87.095653827134569</v>
      </c>
      <c r="G28" s="96">
        <f t="shared" si="1"/>
        <v>95.054337181864469</v>
      </c>
      <c r="H28" s="96">
        <f t="shared" si="1"/>
        <v>103.87674887786605</v>
      </c>
      <c r="I28" s="96">
        <f t="shared" si="1"/>
        <v>113.67042120679542</v>
      </c>
      <c r="J28" s="96">
        <f t="shared" si="1"/>
        <v>124.55792786713917</v>
      </c>
      <c r="K28" s="96">
        <f t="shared" si="1"/>
        <v>136.6792114765033</v>
      </c>
      <c r="L28" s="96">
        <f t="shared" si="1"/>
        <v>150.19430460946552</v>
      </c>
      <c r="M28" s="96">
        <f t="shared" si="1"/>
        <v>165.28651632847121</v>
      </c>
      <c r="N28" s="96">
        <f t="shared" si="1"/>
        <v>182.16617029321867</v>
      </c>
      <c r="O28" s="96">
        <f t="shared" si="1"/>
        <v>201.07499760257986</v>
      </c>
      <c r="P28" s="96">
        <f t="shared" si="1"/>
        <v>222.29130819565933</v>
      </c>
      <c r="Q28" s="96">
        <f t="shared" si="1"/>
        <v>246.1360897209768</v>
      </c>
      <c r="R28" s="82">
        <f t="shared" si="6"/>
        <v>9.8287975292041307E-2</v>
      </c>
      <c r="S28" s="69" t="s">
        <v>26</v>
      </c>
      <c r="T28" s="12">
        <f>1-SUM(T23+T24)</f>
        <v>0.37</v>
      </c>
      <c r="U28" s="12">
        <f t="shared" ref="U28:AG28" si="8">1-SUM(U23+U24)</f>
        <v>0.36753417522645271</v>
      </c>
      <c r="V28" s="12">
        <f t="shared" si="8"/>
        <v>0.36505648803236646</v>
      </c>
      <c r="W28" s="12">
        <f t="shared" si="8"/>
        <v>0.36256687293191459</v>
      </c>
      <c r="X28" s="12">
        <f t="shared" si="8"/>
        <v>0.36006526405167993</v>
      </c>
      <c r="Y28" s="12">
        <f t="shared" si="8"/>
        <v>0.35755159512829038</v>
      </c>
      <c r="Z28" s="12">
        <f t="shared" si="8"/>
        <v>0.35502579950603996</v>
      </c>
      <c r="AA28" s="12">
        <f t="shared" si="8"/>
        <v>0.35248781013449515</v>
      </c>
      <c r="AB28" s="12">
        <f t="shared" si="8"/>
        <v>0.34993755956608608</v>
      </c>
      <c r="AC28" s="12">
        <f t="shared" si="8"/>
        <v>0.3473749799536836</v>
      </c>
      <c r="AD28" s="12">
        <f t="shared" si="8"/>
        <v>0.34480000304816039</v>
      </c>
      <c r="AE28" s="12">
        <f t="shared" si="8"/>
        <v>0.34221256019593804</v>
      </c>
      <c r="AF28" s="12">
        <f t="shared" si="8"/>
        <v>0.33961258233651859</v>
      </c>
      <c r="AG28" s="12">
        <f t="shared" si="8"/>
        <v>0.33699999999999986</v>
      </c>
    </row>
    <row r="29" spans="1:33" ht="15.75" thickBot="1" x14ac:dyDescent="0.3">
      <c r="A29" s="2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21"/>
    </row>
    <row r="30" spans="1:33" x14ac:dyDescent="0.25">
      <c r="A30" s="113" t="s">
        <v>27</v>
      </c>
      <c r="B30" s="61" t="s">
        <v>28</v>
      </c>
      <c r="C30" s="56"/>
      <c r="D30" s="91">
        <f>D55+D81+D106+D132</f>
        <v>219.22669999999999</v>
      </c>
      <c r="E30" s="91">
        <f t="shared" ref="E30:Q32" si="9">E55+E81</f>
        <v>87.541000117955292</v>
      </c>
      <c r="F30" s="91">
        <f t="shared" si="9"/>
        <v>96.460475743108034</v>
      </c>
      <c r="G30" s="91">
        <f t="shared" si="9"/>
        <v>106.43417825094558</v>
      </c>
      <c r="H30" s="91">
        <f t="shared" si="9"/>
        <v>117.60308758759683</v>
      </c>
      <c r="I30" s="91">
        <f t="shared" si="9"/>
        <v>130.12916961680338</v>
      </c>
      <c r="J30" s="91">
        <f t="shared" si="9"/>
        <v>144.19881019783662</v>
      </c>
      <c r="K30" s="91">
        <f t="shared" si="9"/>
        <v>160.02686069577251</v>
      </c>
      <c r="L30" s="91">
        <f t="shared" si="9"/>
        <v>177.8614123603262</v>
      </c>
      <c r="M30" s="91">
        <f t="shared" si="9"/>
        <v>197.98944116488281</v>
      </c>
      <c r="N30" s="91">
        <f t="shared" si="9"/>
        <v>220.743494141257</v>
      </c>
      <c r="O30" s="91">
        <f t="shared" si="9"/>
        <v>246.50962420413668</v>
      </c>
      <c r="P30" s="91">
        <f t="shared" si="9"/>
        <v>275.73682445788239</v>
      </c>
      <c r="Q30" s="91">
        <f t="shared" si="9"/>
        <v>308.94826691980143</v>
      </c>
      <c r="R30" s="78">
        <f>RATE(12,,-E30,Q30)</f>
        <v>0.11080933706390461</v>
      </c>
      <c r="S30" s="61" t="s">
        <v>28</v>
      </c>
      <c r="T30" s="12">
        <v>0.40099999999999997</v>
      </c>
      <c r="U30" s="12">
        <v>0.40265090533119946</v>
      </c>
      <c r="V30" s="12">
        <v>0.40430860739160734</v>
      </c>
      <c r="W30" s="12">
        <v>0.40597313416316017</v>
      </c>
      <c r="X30" s="12">
        <v>0.40764451374299493</v>
      </c>
      <c r="Y30" s="12">
        <v>0.40932277434392395</v>
      </c>
      <c r="Z30" s="12">
        <v>0.41100794429491083</v>
      </c>
      <c r="AA30" s="12">
        <v>0.4127000520415488</v>
      </c>
      <c r="AB30" s="12">
        <v>0.41439912614654062</v>
      </c>
      <c r="AC30" s="12">
        <v>0.41610519529018092</v>
      </c>
      <c r="AD30" s="12">
        <v>0.41781828827084017</v>
      </c>
      <c r="AE30" s="12">
        <v>0.4195384340054511</v>
      </c>
      <c r="AF30" s="12">
        <v>0.4212656615299965</v>
      </c>
      <c r="AG30" s="12">
        <v>0.42299999999999938</v>
      </c>
    </row>
    <row r="31" spans="1:33" x14ac:dyDescent="0.25">
      <c r="A31" s="114"/>
      <c r="B31" s="62" t="s">
        <v>29</v>
      </c>
      <c r="C31" s="47"/>
      <c r="D31" s="97">
        <f>D56+D82+D107+D133</f>
        <v>235.6277</v>
      </c>
      <c r="E31" s="97">
        <f t="shared" si="9"/>
        <v>93.886255266302655</v>
      </c>
      <c r="F31" s="97">
        <f t="shared" si="9"/>
        <v>103.22800365527701</v>
      </c>
      <c r="G31" s="97">
        <f t="shared" si="9"/>
        <v>113.65455768843779</v>
      </c>
      <c r="H31" s="97">
        <f t="shared" si="9"/>
        <v>125.30894812827819</v>
      </c>
      <c r="I31" s="97">
        <f t="shared" si="9"/>
        <v>138.35524719491372</v>
      </c>
      <c r="J31" s="97">
        <f t="shared" si="9"/>
        <v>152.98197693861104</v>
      </c>
      <c r="K31" s="97">
        <f t="shared" si="9"/>
        <v>169.40611904138635</v>
      </c>
      <c r="L31" s="97">
        <f t="shared" si="9"/>
        <v>187.87784062803777</v>
      </c>
      <c r="M31" s="97">
        <f t="shared" si="9"/>
        <v>208.6860740594542</v>
      </c>
      <c r="N31" s="97">
        <f t="shared" si="9"/>
        <v>232.1651171593731</v>
      </c>
      <c r="O31" s="97">
        <f t="shared" si="9"/>
        <v>258.70245506131607</v>
      </c>
      <c r="P31" s="97">
        <f t="shared" si="9"/>
        <v>288.74804731115671</v>
      </c>
      <c r="Q31" s="97">
        <f t="shared" si="9"/>
        <v>322.82537583582155</v>
      </c>
      <c r="R31" s="83">
        <f>RATE(12,,-E31,Q31)</f>
        <v>0.10840158295258484</v>
      </c>
      <c r="S31" s="62" t="s">
        <v>29</v>
      </c>
      <c r="T31" s="12">
        <v>0.43099999999999999</v>
      </c>
      <c r="U31" s="12">
        <v>0.43183634674261745</v>
      </c>
      <c r="V31" s="12">
        <v>0.43267431639909548</v>
      </c>
      <c r="W31" s="12">
        <v>0.43351391211866536</v>
      </c>
      <c r="X31" s="12">
        <v>0.43435513705666956</v>
      </c>
      <c r="Y31" s="12">
        <v>0.43519799437457324</v>
      </c>
      <c r="Z31" s="12">
        <v>0.43604248723997657</v>
      </c>
      <c r="AA31" s="12">
        <v>0.43688861882662616</v>
      </c>
      <c r="AB31" s="12">
        <v>0.43773639231442729</v>
      </c>
      <c r="AC31" s="12">
        <v>0.43858581088945586</v>
      </c>
      <c r="AD31" s="12">
        <v>0.43943687774397006</v>
      </c>
      <c r="AE31" s="12">
        <v>0.44028959607642287</v>
      </c>
      <c r="AF31" s="12">
        <v>0.44114396909147369</v>
      </c>
      <c r="AG31" s="12">
        <v>0.44200000000000028</v>
      </c>
    </row>
    <row r="32" spans="1:33" ht="15.75" thickBot="1" x14ac:dyDescent="0.3">
      <c r="A32" s="115"/>
      <c r="B32" s="63" t="s">
        <v>30</v>
      </c>
      <c r="C32" s="51"/>
      <c r="D32" s="92">
        <f>D57+D83+D108+D134</f>
        <v>91.845600000000033</v>
      </c>
      <c r="E32" s="92">
        <f t="shared" si="9"/>
        <v>35.984400615742025</v>
      </c>
      <c r="F32" s="92">
        <f t="shared" si="9"/>
        <v>38.892827008673073</v>
      </c>
      <c r="G32" s="92">
        <f t="shared" si="9"/>
        <v>42.081760811196652</v>
      </c>
      <c r="H32" s="92">
        <f t="shared" si="9"/>
        <v>45.58218810616151</v>
      </c>
      <c r="I32" s="92">
        <f t="shared" si="9"/>
        <v>49.428921446528378</v>
      </c>
      <c r="J32" s="92">
        <f t="shared" si="9"/>
        <v>53.661117988309577</v>
      </c>
      <c r="K32" s="92">
        <f t="shared" si="9"/>
        <v>58.322873222272577</v>
      </c>
      <c r="L32" s="92">
        <f t="shared" si="9"/>
        <v>63.463901985062563</v>
      </c>
      <c r="M32" s="92">
        <f t="shared" si="9"/>
        <v>69.140320304489165</v>
      </c>
      <c r="N32" s="92">
        <f t="shared" si="9"/>
        <v>75.415543811904399</v>
      </c>
      <c r="O32" s="92">
        <f t="shared" si="9"/>
        <v>82.361320984531901</v>
      </c>
      <c r="P32" s="92">
        <f t="shared" si="9"/>
        <v>90.058922416398829</v>
      </c>
      <c r="Q32" s="92">
        <f t="shared" si="9"/>
        <v>98.60051071908596</v>
      </c>
      <c r="R32" s="79">
        <f>RATE(12,,-E32,Q32)</f>
        <v>8.762807020069123E-2</v>
      </c>
      <c r="S32" s="63" t="s">
        <v>30</v>
      </c>
      <c r="T32" s="12">
        <f>1-SUM(T30:T31)</f>
        <v>0.16800000000000004</v>
      </c>
      <c r="U32" s="12">
        <f t="shared" ref="U32:AG32" si="10">1-SUM(U30:U31)</f>
        <v>0.16551274792618309</v>
      </c>
      <c r="V32" s="12">
        <f t="shared" si="10"/>
        <v>0.16301707620929717</v>
      </c>
      <c r="W32" s="12">
        <f t="shared" si="10"/>
        <v>0.16051295371817442</v>
      </c>
      <c r="X32" s="12">
        <f t="shared" si="10"/>
        <v>0.15800034920033545</v>
      </c>
      <c r="Y32" s="12">
        <f t="shared" si="10"/>
        <v>0.15547923128150276</v>
      </c>
      <c r="Z32" s="12">
        <f t="shared" si="10"/>
        <v>0.15294956846511254</v>
      </c>
      <c r="AA32" s="12">
        <f t="shared" si="10"/>
        <v>0.15041132913182498</v>
      </c>
      <c r="AB32" s="12">
        <f t="shared" si="10"/>
        <v>0.14786448153903209</v>
      </c>
      <c r="AC32" s="12">
        <f t="shared" si="10"/>
        <v>0.14530899382036322</v>
      </c>
      <c r="AD32" s="12">
        <f t="shared" si="10"/>
        <v>0.14274483398518978</v>
      </c>
      <c r="AE32" s="12">
        <f t="shared" si="10"/>
        <v>0.14017196991812608</v>
      </c>
      <c r="AF32" s="12">
        <f t="shared" si="10"/>
        <v>0.13759036937852986</v>
      </c>
      <c r="AG32" s="12">
        <f t="shared" si="10"/>
        <v>0.13500000000000034</v>
      </c>
    </row>
    <row r="35" spans="1:33" ht="26.25" x14ac:dyDescent="0.4">
      <c r="A35" s="109" t="s">
        <v>71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70"/>
    </row>
    <row r="36" spans="1:33" ht="24" thickBot="1" x14ac:dyDescent="0.4">
      <c r="A36" s="70"/>
      <c r="B36" s="70"/>
      <c r="C36" s="7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spans="1:33" ht="15.75" x14ac:dyDescent="0.25">
      <c r="A37" s="49"/>
      <c r="B37" s="50"/>
      <c r="C37" s="100"/>
      <c r="D37" s="98">
        <v>2023</v>
      </c>
      <c r="E37" s="72">
        <v>2024</v>
      </c>
      <c r="F37" s="72">
        <v>2025</v>
      </c>
      <c r="G37" s="72">
        <v>2026</v>
      </c>
      <c r="H37" s="72">
        <v>2027</v>
      </c>
      <c r="I37" s="72">
        <v>2028</v>
      </c>
      <c r="J37" s="72">
        <v>2029</v>
      </c>
      <c r="K37" s="72">
        <v>2030</v>
      </c>
      <c r="L37" s="72">
        <v>2031</v>
      </c>
      <c r="M37" s="72">
        <v>2032</v>
      </c>
      <c r="N37" s="72">
        <v>2033</v>
      </c>
      <c r="O37" s="72">
        <v>2034</v>
      </c>
      <c r="P37" s="72">
        <v>2035</v>
      </c>
      <c r="Q37" s="72">
        <v>2036</v>
      </c>
      <c r="R37" s="73" t="s">
        <v>13</v>
      </c>
    </row>
    <row r="38" spans="1:33" ht="16.5" thickBot="1" x14ac:dyDescent="0.3">
      <c r="A38" s="26"/>
      <c r="B38" s="101"/>
      <c r="C38" s="102"/>
      <c r="D38" s="99">
        <f>'Market Analysis'!C36</f>
        <v>131.208</v>
      </c>
      <c r="E38" s="99">
        <f>'Market Analysis'!D36</f>
        <v>144.85363199999998</v>
      </c>
      <c r="F38" s="99">
        <f>'Market Analysis'!E36</f>
        <v>160.01619713089764</v>
      </c>
      <c r="G38" s="99">
        <f>'Market Analysis'!F36</f>
        <v>177.03830353943735</v>
      </c>
      <c r="H38" s="99">
        <f>'Market Analysis'!G36</f>
        <v>196.17745419839454</v>
      </c>
      <c r="I38" s="99">
        <f>'Market Analysis'!H36</f>
        <v>217.73059578324325</v>
      </c>
      <c r="J38" s="99">
        <f>'Market Analysis'!I36</f>
        <v>242.04071082896809</v>
      </c>
      <c r="K38" s="99">
        <f>'Market Analysis'!J36</f>
        <v>269.50460004498001</v>
      </c>
      <c r="L38" s="99">
        <f>'Market Analysis'!K36</f>
        <v>300.58208514452639</v>
      </c>
      <c r="M38" s="99">
        <f>'Market Analysis'!L36</f>
        <v>335.80691005545339</v>
      </c>
      <c r="N38" s="99">
        <f>'Market Analysis'!M36</f>
        <v>375.79967628001623</v>
      </c>
      <c r="O38" s="99">
        <f>'Market Analysis'!N36</f>
        <v>421.28321886226524</v>
      </c>
      <c r="P38" s="99">
        <f>'Market Analysis'!O36</f>
        <v>473.10091588517196</v>
      </c>
      <c r="Q38" s="99">
        <f>'Market Analysis'!P36</f>
        <v>532.23853037081847</v>
      </c>
      <c r="R38" s="75">
        <f>RATE(12,,-E38,Q38)</f>
        <v>0.11454620348148008</v>
      </c>
      <c r="T38" s="72">
        <v>2023</v>
      </c>
      <c r="U38" s="72">
        <v>2024</v>
      </c>
      <c r="V38" s="72">
        <v>2025</v>
      </c>
      <c r="W38" s="72">
        <v>2026</v>
      </c>
      <c r="X38" s="72">
        <v>2027</v>
      </c>
      <c r="Y38" s="72">
        <v>2028</v>
      </c>
      <c r="Z38" s="72">
        <v>2029</v>
      </c>
      <c r="AA38" s="72">
        <v>2030</v>
      </c>
      <c r="AB38" s="72">
        <v>2031</v>
      </c>
      <c r="AC38" s="72">
        <v>2032</v>
      </c>
      <c r="AD38" s="72">
        <v>2033</v>
      </c>
      <c r="AE38" s="72">
        <v>2034</v>
      </c>
      <c r="AF38" s="72">
        <v>2035</v>
      </c>
      <c r="AG38" s="72">
        <v>2036</v>
      </c>
    </row>
    <row r="39" spans="1:33" x14ac:dyDescent="0.25">
      <c r="A39" s="110" t="s">
        <v>51</v>
      </c>
      <c r="B39" s="59" t="s">
        <v>34</v>
      </c>
      <c r="C39" s="52"/>
      <c r="D39" s="86">
        <f>D38*T39</f>
        <v>73.476480000000009</v>
      </c>
      <c r="E39" s="86">
        <f t="shared" ref="E39:Q39" si="11">E38*U39</f>
        <v>81.25153300842004</v>
      </c>
      <c r="F39" s="86">
        <f t="shared" si="11"/>
        <v>89.90425932716532</v>
      </c>
      <c r="G39" s="86">
        <f t="shared" si="11"/>
        <v>99.631738750439439</v>
      </c>
      <c r="H39" s="86">
        <f t="shared" si="11"/>
        <v>110.58436090594708</v>
      </c>
      <c r="I39" s="86">
        <f t="shared" si="11"/>
        <v>122.93575894970294</v>
      </c>
      <c r="J39" s="86">
        <f t="shared" si="11"/>
        <v>136.88672501491038</v>
      </c>
      <c r="K39" s="86">
        <f t="shared" si="11"/>
        <v>152.6698375972646</v>
      </c>
      <c r="L39" s="86">
        <f t="shared" si="11"/>
        <v>170.55493956698876</v>
      </c>
      <c r="M39" s="86">
        <f t="shared" si="11"/>
        <v>190.85563427340918</v>
      </c>
      <c r="N39" s="86">
        <f t="shared" si="11"/>
        <v>213.93700231141116</v>
      </c>
      <c r="O39" s="86">
        <f t="shared" si="11"/>
        <v>240.22478441970628</v>
      </c>
      <c r="P39" s="86">
        <f t="shared" si="11"/>
        <v>270.21632850628004</v>
      </c>
      <c r="Q39" s="86">
        <f t="shared" si="11"/>
        <v>304.49366322514476</v>
      </c>
      <c r="R39" s="84">
        <f>RATE(12,,-E39,Q39)</f>
        <v>0.11638045531151527</v>
      </c>
      <c r="S39" s="59" t="s">
        <v>34</v>
      </c>
      <c r="T39" s="12">
        <v>0.56000000000000005</v>
      </c>
      <c r="U39" s="12">
        <v>0.56092161367703952</v>
      </c>
      <c r="V39" s="12">
        <v>0.56184474408938223</v>
      </c>
      <c r="W39" s="12">
        <v>0.56276939373317769</v>
      </c>
      <c r="X39" s="12">
        <v>0.56369556510868446</v>
      </c>
      <c r="Y39" s="12">
        <v>0.56462326072027491</v>
      </c>
      <c r="Z39" s="12">
        <v>0.56555248307644368</v>
      </c>
      <c r="AA39" s="12">
        <v>0.56648323468981299</v>
      </c>
      <c r="AB39" s="12">
        <v>0.56741551807714108</v>
      </c>
      <c r="AC39" s="12">
        <v>0.56834933575932756</v>
      </c>
      <c r="AD39" s="12">
        <v>0.56928469026142059</v>
      </c>
      <c r="AE39" s="12">
        <v>0.57022158411262425</v>
      </c>
      <c r="AF39" s="12">
        <v>0.57116001984630527</v>
      </c>
      <c r="AG39" s="12">
        <v>0.57209999999999905</v>
      </c>
    </row>
    <row r="40" spans="1:33" ht="15.75" thickBot="1" x14ac:dyDescent="0.3">
      <c r="A40" s="111"/>
      <c r="B40" s="60" t="s">
        <v>35</v>
      </c>
      <c r="C40" s="53"/>
      <c r="D40" s="87">
        <f>D38*T40</f>
        <v>57.731519999999989</v>
      </c>
      <c r="E40" s="87">
        <f t="shared" ref="E40:Q40" si="12">E38*U40</f>
        <v>63.602098991579943</v>
      </c>
      <c r="F40" s="87">
        <f t="shared" si="12"/>
        <v>70.111937803732317</v>
      </c>
      <c r="G40" s="87">
        <f t="shared" si="12"/>
        <v>77.406564788997912</v>
      </c>
      <c r="H40" s="87">
        <f t="shared" si="12"/>
        <v>85.593093292447463</v>
      </c>
      <c r="I40" s="87">
        <f t="shared" si="12"/>
        <v>94.794836833540302</v>
      </c>
      <c r="J40" s="87">
        <f t="shared" si="12"/>
        <v>105.15398581405772</v>
      </c>
      <c r="K40" s="87">
        <f t="shared" si="12"/>
        <v>116.83476244771542</v>
      </c>
      <c r="L40" s="87">
        <f t="shared" si="12"/>
        <v>130.02714557753762</v>
      </c>
      <c r="M40" s="87">
        <f t="shared" si="12"/>
        <v>144.95127578204421</v>
      </c>
      <c r="N40" s="87">
        <f t="shared" si="12"/>
        <v>161.86267396860507</v>
      </c>
      <c r="O40" s="87">
        <f t="shared" si="12"/>
        <v>181.05843444255896</v>
      </c>
      <c r="P40" s="87">
        <f t="shared" si="12"/>
        <v>202.88458737889195</v>
      </c>
      <c r="Q40" s="87">
        <f t="shared" si="12"/>
        <v>227.74486714567374</v>
      </c>
      <c r="R40" s="85">
        <f>RATE(12,,-E40,Q40)</f>
        <v>0.11215357557080327</v>
      </c>
      <c r="S40" s="60" t="s">
        <v>35</v>
      </c>
      <c r="T40" s="12">
        <f>1-T39</f>
        <v>0.43999999999999995</v>
      </c>
      <c r="U40" s="12">
        <f t="shared" ref="U40:AG40" si="13">1-U39</f>
        <v>0.43907838632296048</v>
      </c>
      <c r="V40" s="12">
        <f t="shared" si="13"/>
        <v>0.43815525591061777</v>
      </c>
      <c r="W40" s="12">
        <f t="shared" si="13"/>
        <v>0.43723060626682231</v>
      </c>
      <c r="X40" s="12">
        <f t="shared" si="13"/>
        <v>0.43630443489131554</v>
      </c>
      <c r="Y40" s="12">
        <f t="shared" si="13"/>
        <v>0.43537673927972509</v>
      </c>
      <c r="Z40" s="12">
        <f t="shared" si="13"/>
        <v>0.43444751692355632</v>
      </c>
      <c r="AA40" s="12">
        <f t="shared" si="13"/>
        <v>0.43351676531018701</v>
      </c>
      <c r="AB40" s="12">
        <f t="shared" si="13"/>
        <v>0.43258448192285892</v>
      </c>
      <c r="AC40" s="12">
        <f t="shared" si="13"/>
        <v>0.43165066424067244</v>
      </c>
      <c r="AD40" s="12">
        <f t="shared" si="13"/>
        <v>0.43071530973857941</v>
      </c>
      <c r="AE40" s="12">
        <f t="shared" si="13"/>
        <v>0.42977841588737575</v>
      </c>
      <c r="AF40" s="12">
        <f t="shared" si="13"/>
        <v>0.42883998015369473</v>
      </c>
      <c r="AG40" s="12">
        <f t="shared" si="13"/>
        <v>0.42790000000000095</v>
      </c>
    </row>
    <row r="41" spans="1:33" ht="15.75" thickBot="1" x14ac:dyDescent="0.3">
      <c r="A41" s="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21"/>
    </row>
    <row r="42" spans="1:33" x14ac:dyDescent="0.25">
      <c r="A42" s="110" t="s">
        <v>15</v>
      </c>
      <c r="B42" s="64" t="s">
        <v>16</v>
      </c>
      <c r="C42" s="54"/>
      <c r="D42" s="89">
        <f>D38*T42</f>
        <v>61.798967999999988</v>
      </c>
      <c r="E42" s="89">
        <f t="shared" ref="E42:Q42" si="14">E38*U42</f>
        <v>68.1369199753846</v>
      </c>
      <c r="F42" s="89">
        <f t="shared" si="14"/>
        <v>75.170685836799365</v>
      </c>
      <c r="G42" s="89">
        <f t="shared" si="14"/>
        <v>83.058201022079089</v>
      </c>
      <c r="H42" s="89">
        <f t="shared" si="14"/>
        <v>91.91668257864778</v>
      </c>
      <c r="I42" s="89">
        <f t="shared" si="14"/>
        <v>101.88117031918989</v>
      </c>
      <c r="J42" s="89">
        <f t="shared" si="14"/>
        <v>113.10748602199854</v>
      </c>
      <c r="K42" s="89">
        <f t="shared" si="14"/>
        <v>125.77572372868411</v>
      </c>
      <c r="L42" s="89">
        <f t="shared" si="14"/>
        <v>140.09437337620656</v>
      </c>
      <c r="M42" s="89">
        <f t="shared" si="14"/>
        <v>156.3052009804268</v>
      </c>
      <c r="N42" s="89">
        <f t="shared" si="14"/>
        <v>174.68903413539522</v>
      </c>
      <c r="O42" s="89">
        <f t="shared" si="14"/>
        <v>195.57263275644391</v>
      </c>
      <c r="P42" s="89">
        <f t="shared" si="14"/>
        <v>219.33686307999471</v>
      </c>
      <c r="Q42" s="89">
        <f t="shared" si="14"/>
        <v>246.42643956168894</v>
      </c>
      <c r="R42" s="76">
        <f>RATE(12,,-E42,Q42)</f>
        <v>0.11307749087088256</v>
      </c>
      <c r="S42" s="64" t="s">
        <v>16</v>
      </c>
      <c r="T42" s="12">
        <v>0.47099999999999992</v>
      </c>
      <c r="U42" s="12">
        <v>0.47038461538461535</v>
      </c>
      <c r="V42" s="12">
        <v>0.46976923076923072</v>
      </c>
      <c r="W42" s="12">
        <v>0.46915384615384609</v>
      </c>
      <c r="X42" s="12">
        <v>0.46853846153846151</v>
      </c>
      <c r="Y42" s="12">
        <v>0.46792307692307689</v>
      </c>
      <c r="Z42" s="12">
        <v>0.46730769230769226</v>
      </c>
      <c r="AA42" s="12">
        <v>0.46669230769230763</v>
      </c>
      <c r="AB42" s="12">
        <v>0.46607692307692306</v>
      </c>
      <c r="AC42" s="12">
        <v>0.46546153846153843</v>
      </c>
      <c r="AD42" s="12">
        <v>0.4648461538461538</v>
      </c>
      <c r="AE42" s="12">
        <v>0.46423076923076922</v>
      </c>
      <c r="AF42" s="12">
        <v>0.4636153846153846</v>
      </c>
      <c r="AG42" s="12">
        <v>0.46299999999999997</v>
      </c>
    </row>
    <row r="43" spans="1:33" ht="15.75" thickBot="1" x14ac:dyDescent="0.3">
      <c r="A43" s="111"/>
      <c r="B43" s="65" t="s">
        <v>17</v>
      </c>
      <c r="C43" s="55"/>
      <c r="D43" s="90">
        <f>D38*T43</f>
        <v>69.40903200000001</v>
      </c>
      <c r="E43" s="90">
        <f t="shared" ref="E43:Q43" si="15">E38*U43</f>
        <v>76.716712024615376</v>
      </c>
      <c r="F43" s="90">
        <f t="shared" si="15"/>
        <v>84.845511294098273</v>
      </c>
      <c r="G43" s="90">
        <f t="shared" si="15"/>
        <v>93.980102517358262</v>
      </c>
      <c r="H43" s="90">
        <f t="shared" si="15"/>
        <v>104.26077161974675</v>
      </c>
      <c r="I43" s="90">
        <f t="shared" si="15"/>
        <v>115.84942546405335</v>
      </c>
      <c r="J43" s="90">
        <f t="shared" si="15"/>
        <v>128.93322480696958</v>
      </c>
      <c r="K43" s="90">
        <f t="shared" si="15"/>
        <v>143.7288763162959</v>
      </c>
      <c r="L43" s="90">
        <f t="shared" si="15"/>
        <v>160.48771176831983</v>
      </c>
      <c r="M43" s="90">
        <f t="shared" si="15"/>
        <v>179.50170907502661</v>
      </c>
      <c r="N43" s="90">
        <f t="shared" si="15"/>
        <v>201.11064214462101</v>
      </c>
      <c r="O43" s="90">
        <f t="shared" si="15"/>
        <v>225.71058610582133</v>
      </c>
      <c r="P43" s="90">
        <f t="shared" si="15"/>
        <v>253.76405280517727</v>
      </c>
      <c r="Q43" s="90">
        <f t="shared" si="15"/>
        <v>285.81209080912953</v>
      </c>
      <c r="R43" s="77">
        <f>RATE(12,,-E43,Q43)</f>
        <v>0.11583304302381005</v>
      </c>
      <c r="S43" s="65" t="s">
        <v>17</v>
      </c>
      <c r="T43" s="12">
        <f>1-T42</f>
        <v>0.52900000000000014</v>
      </c>
      <c r="U43" s="12">
        <f t="shared" ref="U43:AG43" si="16">1-U42</f>
        <v>0.5296153846153846</v>
      </c>
      <c r="V43" s="12">
        <f t="shared" si="16"/>
        <v>0.53023076923076928</v>
      </c>
      <c r="W43" s="12">
        <f t="shared" si="16"/>
        <v>0.53084615384615397</v>
      </c>
      <c r="X43" s="12">
        <f t="shared" si="16"/>
        <v>0.53146153846153843</v>
      </c>
      <c r="Y43" s="12">
        <f t="shared" si="16"/>
        <v>0.53207692307692311</v>
      </c>
      <c r="Z43" s="12">
        <f t="shared" si="16"/>
        <v>0.5326923076923078</v>
      </c>
      <c r="AA43" s="12">
        <f t="shared" si="16"/>
        <v>0.53330769230769237</v>
      </c>
      <c r="AB43" s="12">
        <f t="shared" si="16"/>
        <v>0.53392307692307694</v>
      </c>
      <c r="AC43" s="12">
        <f t="shared" si="16"/>
        <v>0.53453846153846163</v>
      </c>
      <c r="AD43" s="12">
        <f t="shared" si="16"/>
        <v>0.5351538461538462</v>
      </c>
      <c r="AE43" s="12">
        <f t="shared" si="16"/>
        <v>0.53576923076923078</v>
      </c>
      <c r="AF43" s="12">
        <f t="shared" si="16"/>
        <v>0.53638461538461546</v>
      </c>
      <c r="AG43" s="12">
        <f t="shared" si="16"/>
        <v>0.53700000000000003</v>
      </c>
    </row>
    <row r="44" spans="1:33" ht="15.75" thickBot="1" x14ac:dyDescent="0.3">
      <c r="A44" s="1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21"/>
    </row>
    <row r="45" spans="1:33" x14ac:dyDescent="0.25">
      <c r="A45" s="110" t="s">
        <v>18</v>
      </c>
      <c r="B45" s="61" t="s">
        <v>19</v>
      </c>
      <c r="C45" s="56"/>
      <c r="D45" s="91">
        <f>D38*T45</f>
        <v>52.614407999999997</v>
      </c>
      <c r="E45" s="91">
        <f t="shared" ref="E45:Q45" si="17">E38*U45</f>
        <v>58.325446065312399</v>
      </c>
      <c r="F45" s="91">
        <f t="shared" si="17"/>
        <v>64.695925822094139</v>
      </c>
      <c r="G45" s="91">
        <f t="shared" si="17"/>
        <v>71.872794954834276</v>
      </c>
      <c r="H45" s="91">
        <f t="shared" si="17"/>
        <v>79.970662924043197</v>
      </c>
      <c r="I45" s="91">
        <f t="shared" si="17"/>
        <v>89.122091525552591</v>
      </c>
      <c r="J45" s="91">
        <f t="shared" si="17"/>
        <v>99.480654993493133</v>
      </c>
      <c r="K45" s="91">
        <f t="shared" si="17"/>
        <v>111.22456246400004</v>
      </c>
      <c r="L45" s="91">
        <f t="shared" si="17"/>
        <v>124.56095341919681</v>
      </c>
      <c r="M45" s="91">
        <f t="shared" si="17"/>
        <v>139.73099988841665</v>
      </c>
      <c r="N45" s="91">
        <f t="shared" si="17"/>
        <v>157.01597747605223</v>
      </c>
      <c r="O45" s="91">
        <f t="shared" si="17"/>
        <v>176.74450191425049</v>
      </c>
      <c r="P45" s="91">
        <f t="shared" si="17"/>
        <v>199.30117030081419</v>
      </c>
      <c r="Q45" s="91">
        <f t="shared" si="17"/>
        <v>225.13689834685587</v>
      </c>
      <c r="R45" s="78">
        <f>RATE(12,,-E45,Q45)</f>
        <v>0.11913475776872964</v>
      </c>
      <c r="S45" s="61" t="s">
        <v>19</v>
      </c>
      <c r="T45" s="12">
        <v>0.40099999999999997</v>
      </c>
      <c r="U45" s="12">
        <v>0.40265090533119946</v>
      </c>
      <c r="V45" s="12">
        <v>0.40430860739160734</v>
      </c>
      <c r="W45" s="12">
        <v>0.40597313416316017</v>
      </c>
      <c r="X45" s="12">
        <v>0.40764451374299493</v>
      </c>
      <c r="Y45" s="12">
        <v>0.40932277434392395</v>
      </c>
      <c r="Z45" s="12">
        <v>0.41100794429491083</v>
      </c>
      <c r="AA45" s="12">
        <v>0.4127000520415488</v>
      </c>
      <c r="AB45" s="12">
        <v>0.41439912614654062</v>
      </c>
      <c r="AC45" s="12">
        <v>0.41610519529018092</v>
      </c>
      <c r="AD45" s="12">
        <v>0.41781828827084017</v>
      </c>
      <c r="AE45" s="12">
        <v>0.4195384340054511</v>
      </c>
      <c r="AF45" s="12">
        <v>0.4212656615299965</v>
      </c>
      <c r="AG45" s="12">
        <v>0.42299999999999938</v>
      </c>
    </row>
    <row r="46" spans="1:33" ht="15.75" thickBot="1" x14ac:dyDescent="0.3">
      <c r="A46" s="111"/>
      <c r="B46" s="63" t="s">
        <v>20</v>
      </c>
      <c r="C46" s="51"/>
      <c r="D46" s="92">
        <f>D38*T46</f>
        <v>78.593592000000001</v>
      </c>
      <c r="E46" s="92">
        <f t="shared" ref="E46:Q46" si="18">E38*U46</f>
        <v>86.528185934687571</v>
      </c>
      <c r="F46" s="92">
        <f t="shared" si="18"/>
        <v>95.320271308803498</v>
      </c>
      <c r="G46" s="92">
        <f t="shared" si="18"/>
        <v>105.16550858460307</v>
      </c>
      <c r="H46" s="92">
        <f t="shared" si="18"/>
        <v>116.20679127435135</v>
      </c>
      <c r="I46" s="92">
        <f t="shared" si="18"/>
        <v>128.60850425769064</v>
      </c>
      <c r="J46" s="92">
        <f t="shared" si="18"/>
        <v>142.56005583547494</v>
      </c>
      <c r="K46" s="92">
        <f t="shared" si="18"/>
        <v>158.28003758097995</v>
      </c>
      <c r="L46" s="92">
        <f t="shared" si="18"/>
        <v>176.02113172532958</v>
      </c>
      <c r="M46" s="92">
        <f t="shared" si="18"/>
        <v>196.07591016703677</v>
      </c>
      <c r="N46" s="92">
        <f t="shared" si="18"/>
        <v>218.783698803964</v>
      </c>
      <c r="O46" s="92">
        <f t="shared" si="18"/>
        <v>244.53871694801475</v>
      </c>
      <c r="P46" s="92">
        <f t="shared" si="18"/>
        <v>273.79974558435771</v>
      </c>
      <c r="Q46" s="92">
        <f t="shared" si="18"/>
        <v>307.10163202396257</v>
      </c>
      <c r="R46" s="79">
        <f>RATE(12,,-E46,Q46)</f>
        <v>0.11133172041922107</v>
      </c>
      <c r="S46" s="63" t="s">
        <v>20</v>
      </c>
      <c r="T46" s="12">
        <f>1-T45</f>
        <v>0.59899999999999998</v>
      </c>
      <c r="U46" s="12">
        <f t="shared" ref="U46:AG46" si="19">1-U45</f>
        <v>0.59734909466880048</v>
      </c>
      <c r="V46" s="12">
        <f t="shared" si="19"/>
        <v>0.59569139260839266</v>
      </c>
      <c r="W46" s="12">
        <f t="shared" si="19"/>
        <v>0.59402686583683983</v>
      </c>
      <c r="X46" s="12">
        <f t="shared" si="19"/>
        <v>0.59235548625700507</v>
      </c>
      <c r="Y46" s="12">
        <f t="shared" si="19"/>
        <v>0.59067722565607605</v>
      </c>
      <c r="Z46" s="12">
        <f t="shared" si="19"/>
        <v>0.58899205570508917</v>
      </c>
      <c r="AA46" s="12">
        <f t="shared" si="19"/>
        <v>0.5872999479584512</v>
      </c>
      <c r="AB46" s="12">
        <f t="shared" si="19"/>
        <v>0.58560087385345938</v>
      </c>
      <c r="AC46" s="12">
        <f t="shared" si="19"/>
        <v>0.58389480470981914</v>
      </c>
      <c r="AD46" s="12">
        <f t="shared" si="19"/>
        <v>0.58218171172915989</v>
      </c>
      <c r="AE46" s="12">
        <f t="shared" si="19"/>
        <v>0.5804615659945489</v>
      </c>
      <c r="AF46" s="12">
        <f t="shared" si="19"/>
        <v>0.57873433847000344</v>
      </c>
      <c r="AG46" s="12">
        <f t="shared" si="19"/>
        <v>0.57700000000000062</v>
      </c>
    </row>
    <row r="47" spans="1:33" ht="15.75" thickBot="1" x14ac:dyDescent="0.3">
      <c r="A47" s="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21"/>
    </row>
    <row r="48" spans="1:33" x14ac:dyDescent="0.25">
      <c r="A48" s="110" t="s">
        <v>14</v>
      </c>
      <c r="B48" s="66" t="s">
        <v>21</v>
      </c>
      <c r="C48" s="57"/>
      <c r="D48" s="93">
        <f>D38*T48</f>
        <v>32.802</v>
      </c>
      <c r="E48" s="93">
        <f t="shared" ref="E48:Q48" si="20">E38*U48</f>
        <v>36.438790892844061</v>
      </c>
      <c r="F48" s="93">
        <f t="shared" si="20"/>
        <v>40.503548567101582</v>
      </c>
      <c r="G48" s="93">
        <f t="shared" si="20"/>
        <v>45.091110220610489</v>
      </c>
      <c r="H48" s="93">
        <f t="shared" si="20"/>
        <v>50.276767082690093</v>
      </c>
      <c r="I48" s="93">
        <f t="shared" si="20"/>
        <v>56.147738743938213</v>
      </c>
      <c r="J48" s="93">
        <f t="shared" si="20"/>
        <v>62.805226964155409</v>
      </c>
      <c r="K48" s="93">
        <f t="shared" si="20"/>
        <v>70.366850342041815</v>
      </c>
      <c r="L48" s="93">
        <f t="shared" si="20"/>
        <v>78.969535385219089</v>
      </c>
      <c r="M48" s="93">
        <f t="shared" si="20"/>
        <v>88.772955453358435</v>
      </c>
      <c r="N48" s="93">
        <f t="shared" si="20"/>
        <v>99.963628539826459</v>
      </c>
      <c r="O48" s="93">
        <f t="shared" si="20"/>
        <v>112.75980874633038</v>
      </c>
      <c r="P48" s="93">
        <f t="shared" si="20"/>
        <v>127.41733563605256</v>
      </c>
      <c r="Q48" s="93">
        <f t="shared" si="20"/>
        <v>144.23664173049187</v>
      </c>
      <c r="R48" s="80">
        <f t="shared" ref="R48:R53" si="21">RATE(12,,-E48,Q48)</f>
        <v>0.12148285102223227</v>
      </c>
      <c r="S48" s="66" t="s">
        <v>21</v>
      </c>
      <c r="T48" s="12">
        <v>0.25</v>
      </c>
      <c r="U48" s="12">
        <v>0.25155593539307364</v>
      </c>
      <c r="V48" s="12">
        <v>0.25312155452593693</v>
      </c>
      <c r="W48" s="12">
        <v>0.25469691766768382</v>
      </c>
      <c r="X48" s="12">
        <v>0.25628208546250747</v>
      </c>
      <c r="Y48" s="12">
        <v>0.2578771189320348</v>
      </c>
      <c r="Z48" s="12">
        <v>0.25948207947767565</v>
      </c>
      <c r="AA48" s="12">
        <v>0.2610970288829863</v>
      </c>
      <c r="AB48" s="12">
        <v>0.26272202931604799</v>
      </c>
      <c r="AC48" s="12">
        <v>0.26435714333185978</v>
      </c>
      <c r="AD48" s="12">
        <v>0.26600243387474731</v>
      </c>
      <c r="AE48" s="12">
        <v>0.26765796428078514</v>
      </c>
      <c r="AF48" s="12">
        <v>0.26932379828023517</v>
      </c>
      <c r="AG48" s="12">
        <v>0.27100000000000013</v>
      </c>
    </row>
    <row r="49" spans="1:33" x14ac:dyDescent="0.25">
      <c r="A49" s="112"/>
      <c r="B49" s="67" t="s">
        <v>22</v>
      </c>
      <c r="C49" s="48"/>
      <c r="D49" s="94">
        <f>D38*T49</f>
        <v>49.85904</v>
      </c>
      <c r="E49" s="94">
        <f t="shared" ref="E49:Q49" si="22">E38*U49</f>
        <v>55.176180941479835</v>
      </c>
      <c r="F49" s="94">
        <f t="shared" si="22"/>
        <v>61.097697610895736</v>
      </c>
      <c r="G49" s="94">
        <f t="shared" si="22"/>
        <v>67.758969215361958</v>
      </c>
      <c r="H49" s="94">
        <f t="shared" si="22"/>
        <v>75.264000268773188</v>
      </c>
      <c r="I49" s="94">
        <f t="shared" si="22"/>
        <v>83.732935208773384</v>
      </c>
      <c r="J49" s="94">
        <f t="shared" si="22"/>
        <v>93.304786989748067</v>
      </c>
      <c r="K49" s="94">
        <f t="shared" si="22"/>
        <v>104.14066341191023</v>
      </c>
      <c r="L49" s="94">
        <f t="shared" si="22"/>
        <v>116.42758843454624</v>
      </c>
      <c r="M49" s="94">
        <f t="shared" si="22"/>
        <v>130.38303595327341</v>
      </c>
      <c r="N49" s="94">
        <f t="shared" si="22"/>
        <v>146.26031821334252</v>
      </c>
      <c r="O49" s="94">
        <f t="shared" si="22"/>
        <v>164.35500122149338</v>
      </c>
      <c r="P49" s="94">
        <f t="shared" si="22"/>
        <v>185.01255649958412</v>
      </c>
      <c r="Q49" s="94">
        <f t="shared" si="22"/>
        <v>208.63750390536086</v>
      </c>
      <c r="R49" s="81">
        <f t="shared" si="21"/>
        <v>0.11721492388830408</v>
      </c>
      <c r="S49" s="67" t="s">
        <v>22</v>
      </c>
      <c r="T49" s="12">
        <v>0.38</v>
      </c>
      <c r="U49" s="12">
        <v>0.38090988938047371</v>
      </c>
      <c r="V49" s="12">
        <v>0.38182195744169661</v>
      </c>
      <c r="W49" s="12">
        <v>0.38273620940040159</v>
      </c>
      <c r="X49" s="12">
        <v>0.38365265048581265</v>
      </c>
      <c r="Y49" s="12">
        <v>0.38457128593967477</v>
      </c>
      <c r="Z49" s="12">
        <v>0.38549212101628438</v>
      </c>
      <c r="AA49" s="12">
        <v>0.38641516098251855</v>
      </c>
      <c r="AB49" s="12">
        <v>0.38734041111786593</v>
      </c>
      <c r="AC49" s="12">
        <v>0.38826787671445667</v>
      </c>
      <c r="AD49" s="12">
        <v>0.38919756307709236</v>
      </c>
      <c r="AE49" s="12">
        <v>0.39012947552327681</v>
      </c>
      <c r="AF49" s="12">
        <v>0.3910636193832463</v>
      </c>
      <c r="AG49" s="12">
        <v>0.39200000000000002</v>
      </c>
    </row>
    <row r="50" spans="1:33" x14ac:dyDescent="0.25">
      <c r="A50" s="112"/>
      <c r="B50" s="68" t="s">
        <v>23</v>
      </c>
      <c r="C50" s="48"/>
      <c r="D50" s="95">
        <f>D49*T50</f>
        <v>17.450663999999993</v>
      </c>
      <c r="E50" s="95">
        <f t="shared" ref="E50:Q50" si="23">E49*U50</f>
        <v>19.277778746901884</v>
      </c>
      <c r="F50" s="95">
        <f t="shared" si="23"/>
        <v>21.30921783594621</v>
      </c>
      <c r="G50" s="95">
        <f t="shared" si="23"/>
        <v>23.591022508541375</v>
      </c>
      <c r="H50" s="95">
        <f t="shared" si="23"/>
        <v>26.158002778664734</v>
      </c>
      <c r="I50" s="95">
        <f t="shared" si="23"/>
        <v>29.050319266383088</v>
      </c>
      <c r="J50" s="95">
        <f t="shared" si="23"/>
        <v>32.314380168714997</v>
      </c>
      <c r="K50" s="95">
        <f t="shared" si="23"/>
        <v>36.003900615748059</v>
      </c>
      <c r="L50" s="95">
        <f t="shared" si="23"/>
        <v>40.181155920502633</v>
      </c>
      <c r="M50" s="95">
        <f t="shared" si="23"/>
        <v>44.918466744562359</v>
      </c>
      <c r="N50" s="95">
        <f t="shared" si="23"/>
        <v>50.299962142556474</v>
      </c>
      <c r="O50" s="95">
        <f t="shared" si="23"/>
        <v>56.423676147523189</v>
      </c>
      <c r="P50" s="95">
        <f t="shared" si="23"/>
        <v>63.404045426788343</v>
      </c>
      <c r="Q50" s="95">
        <f t="shared" si="23"/>
        <v>71.37489008602391</v>
      </c>
      <c r="R50" s="81">
        <f t="shared" si="21"/>
        <v>0.11525463902094993</v>
      </c>
      <c r="S50" s="68" t="s">
        <v>23</v>
      </c>
      <c r="T50" s="74">
        <v>0.34999999999999987</v>
      </c>
      <c r="U50" s="74">
        <v>0.34938588387166564</v>
      </c>
      <c r="V50" s="74">
        <v>0.34877284528224306</v>
      </c>
      <c r="W50" s="74">
        <v>0.34816088234106346</v>
      </c>
      <c r="X50" s="74">
        <v>0.34754999316077562</v>
      </c>
      <c r="Y50" s="74">
        <v>0.34694017585733994</v>
      </c>
      <c r="Z50" s="74">
        <v>0.34633142855002247</v>
      </c>
      <c r="AA50" s="74">
        <v>0.34572374936138933</v>
      </c>
      <c r="AB50" s="74">
        <v>0.34511713641730069</v>
      </c>
      <c r="AC50" s="74">
        <v>0.34451158784690528</v>
      </c>
      <c r="AD50" s="74">
        <v>0.34390710178263434</v>
      </c>
      <c r="AE50" s="74">
        <v>0.34330367636019604</v>
      </c>
      <c r="AF50" s="74">
        <v>0.34270130971856966</v>
      </c>
      <c r="AG50" s="74">
        <v>0.34209999999999979</v>
      </c>
    </row>
    <row r="51" spans="1:33" x14ac:dyDescent="0.25">
      <c r="A51" s="112"/>
      <c r="B51" s="68" t="s">
        <v>24</v>
      </c>
      <c r="C51" s="48"/>
      <c r="D51" s="95">
        <f>D49*T51</f>
        <v>13.960531200000002</v>
      </c>
      <c r="E51" s="95">
        <f t="shared" ref="E51:Q51" si="24">E49*U51</f>
        <v>15.503358534701597</v>
      </c>
      <c r="F51" s="95">
        <f t="shared" si="24"/>
        <v>17.227216851062941</v>
      </c>
      <c r="G51" s="95">
        <f t="shared" si="24"/>
        <v>19.172254647632062</v>
      </c>
      <c r="H51" s="95">
        <f t="shared" si="24"/>
        <v>21.370260567335546</v>
      </c>
      <c r="I51" s="95">
        <f t="shared" si="24"/>
        <v>23.858050741698246</v>
      </c>
      <c r="J51" s="95">
        <f t="shared" si="24"/>
        <v>26.678333082360815</v>
      </c>
      <c r="K51" s="95">
        <f t="shared" si="24"/>
        <v>29.880731625864623</v>
      </c>
      <c r="L51" s="95">
        <f t="shared" si="24"/>
        <v>33.523002635793695</v>
      </c>
      <c r="M51" s="95">
        <f t="shared" si="24"/>
        <v>37.672480846264619</v>
      </c>
      <c r="N51" s="95">
        <f t="shared" si="24"/>
        <v>42.407802400779985</v>
      </c>
      <c r="O51" s="95">
        <f t="shared" si="24"/>
        <v>47.82096105119043</v>
      </c>
      <c r="P51" s="95">
        <f t="shared" si="24"/>
        <v>54.01976647023033</v>
      </c>
      <c r="Q51" s="95">
        <f t="shared" si="24"/>
        <v>61.130788644270659</v>
      </c>
      <c r="R51" s="81">
        <f t="shared" si="21"/>
        <v>0.1211219374151488</v>
      </c>
      <c r="S51" s="68" t="s">
        <v>24</v>
      </c>
      <c r="T51" s="74">
        <v>0.28000000000000003</v>
      </c>
      <c r="U51" s="74">
        <v>0.28097918830490543</v>
      </c>
      <c r="V51" s="74">
        <v>0.28196180093029821</v>
      </c>
      <c r="W51" s="74">
        <v>0.28294784985137333</v>
      </c>
      <c r="X51" s="74">
        <v>0.28393734708520407</v>
      </c>
      <c r="Y51" s="74">
        <v>0.28493030469088876</v>
      </c>
      <c r="Z51" s="74">
        <v>0.28592673476969749</v>
      </c>
      <c r="AA51" s="74">
        <v>0.28692664946521995</v>
      </c>
      <c r="AB51" s="74">
        <v>0.28793006096351298</v>
      </c>
      <c r="AC51" s="74">
        <v>0.28893698149324931</v>
      </c>
      <c r="AD51" s="74">
        <v>0.28994742332586665</v>
      </c>
      <c r="AE51" s="74">
        <v>0.29096139877571725</v>
      </c>
      <c r="AF51" s="74">
        <v>0.29197892020021765</v>
      </c>
      <c r="AG51" s="74">
        <v>0.29299999999999965</v>
      </c>
    </row>
    <row r="52" spans="1:33" x14ac:dyDescent="0.25">
      <c r="A52" s="112"/>
      <c r="B52" s="68" t="s">
        <v>25</v>
      </c>
      <c r="C52" s="48"/>
      <c r="D52" s="95">
        <f>D49*T52</f>
        <v>18.447844800000006</v>
      </c>
      <c r="E52" s="95">
        <f t="shared" ref="E52:Q52" si="25">E49*U52</f>
        <v>20.395043659876357</v>
      </c>
      <c r="F52" s="95">
        <f t="shared" si="25"/>
        <v>22.561262923886584</v>
      </c>
      <c r="G52" s="95">
        <f t="shared" si="25"/>
        <v>24.995692059188517</v>
      </c>
      <c r="H52" s="95">
        <f t="shared" si="25"/>
        <v>27.735736922772904</v>
      </c>
      <c r="I52" s="95">
        <f t="shared" si="25"/>
        <v>30.824565200692046</v>
      </c>
      <c r="J52" s="95">
        <f t="shared" si="25"/>
        <v>34.312073738672254</v>
      </c>
      <c r="K52" s="95">
        <f t="shared" si="25"/>
        <v>38.256031170297547</v>
      </c>
      <c r="L52" s="95">
        <f t="shared" si="25"/>
        <v>42.723429878249917</v>
      </c>
      <c r="M52" s="95">
        <f t="shared" si="25"/>
        <v>47.792088362446428</v>
      </c>
      <c r="N52" s="95">
        <f t="shared" si="25"/>
        <v>53.552553670006048</v>
      </c>
      <c r="O52" s="95">
        <f t="shared" si="25"/>
        <v>60.110364022779748</v>
      </c>
      <c r="P52" s="95">
        <f t="shared" si="25"/>
        <v>67.588744602565455</v>
      </c>
      <c r="Q52" s="95">
        <f t="shared" si="25"/>
        <v>76.131825175066297</v>
      </c>
      <c r="R52" s="81">
        <f t="shared" si="21"/>
        <v>0.11601526126408669</v>
      </c>
      <c r="S52" s="68" t="s">
        <v>25</v>
      </c>
      <c r="T52" s="74">
        <f>1-SUM(T50:T51)</f>
        <v>0.37000000000000011</v>
      </c>
      <c r="U52" s="74">
        <f t="shared" ref="U52:AG52" si="26">1-SUM(U50:U51)</f>
        <v>0.36963492782342899</v>
      </c>
      <c r="V52" s="74">
        <f t="shared" si="26"/>
        <v>0.36926535378745873</v>
      </c>
      <c r="W52" s="74">
        <f t="shared" si="26"/>
        <v>0.36889126780756321</v>
      </c>
      <c r="X52" s="74">
        <f t="shared" si="26"/>
        <v>0.36851265975402026</v>
      </c>
      <c r="Y52" s="74">
        <f t="shared" si="26"/>
        <v>0.3681295194517713</v>
      </c>
      <c r="Z52" s="74">
        <f t="shared" si="26"/>
        <v>0.36774183668028004</v>
      </c>
      <c r="AA52" s="74">
        <f t="shared" si="26"/>
        <v>0.36734960117339077</v>
      </c>
      <c r="AB52" s="74">
        <f t="shared" si="26"/>
        <v>0.36695280261918639</v>
      </c>
      <c r="AC52" s="74">
        <f t="shared" si="26"/>
        <v>0.36655143065984541</v>
      </c>
      <c r="AD52" s="74">
        <f t="shared" si="26"/>
        <v>0.36614547489149896</v>
      </c>
      <c r="AE52" s="74">
        <f t="shared" si="26"/>
        <v>0.36573492486408665</v>
      </c>
      <c r="AF52" s="74">
        <f t="shared" si="26"/>
        <v>0.36531977008121275</v>
      </c>
      <c r="AG52" s="74">
        <f t="shared" si="26"/>
        <v>0.36490000000000056</v>
      </c>
    </row>
    <row r="53" spans="1:33" ht="15.75" thickBot="1" x14ac:dyDescent="0.3">
      <c r="A53" s="111"/>
      <c r="B53" s="69" t="s">
        <v>26</v>
      </c>
      <c r="C53" s="58"/>
      <c r="D53" s="96">
        <f>D38*T53</f>
        <v>48.546959999999999</v>
      </c>
      <c r="E53" s="96">
        <f t="shared" ref="E53:Q53" si="27">E38*U53</f>
        <v>53.238660165676087</v>
      </c>
      <c r="F53" s="96">
        <f t="shared" si="27"/>
        <v>58.414950952900327</v>
      </c>
      <c r="G53" s="96">
        <f t="shared" si="27"/>
        <v>64.188224103464904</v>
      </c>
      <c r="H53" s="96">
        <f t="shared" si="27"/>
        <v>70.636686846931283</v>
      </c>
      <c r="I53" s="96">
        <f t="shared" si="27"/>
        <v>77.849921830531642</v>
      </c>
      <c r="J53" s="96">
        <f t="shared" si="27"/>
        <v>85.930696875064626</v>
      </c>
      <c r="K53" s="96">
        <f t="shared" si="27"/>
        <v>94.997086291027969</v>
      </c>
      <c r="L53" s="96">
        <f t="shared" si="27"/>
        <v>105.18496132476106</v>
      </c>
      <c r="M53" s="96">
        <f t="shared" si="27"/>
        <v>116.65091864882156</v>
      </c>
      <c r="N53" s="96">
        <f t="shared" si="27"/>
        <v>129.57572952684728</v>
      </c>
      <c r="O53" s="96">
        <f t="shared" si="27"/>
        <v>144.16840889444148</v>
      </c>
      <c r="P53" s="96">
        <f t="shared" si="27"/>
        <v>160.67102374953532</v>
      </c>
      <c r="Q53" s="96">
        <f t="shared" si="27"/>
        <v>179.36438473496574</v>
      </c>
      <c r="R53" s="82">
        <f t="shared" si="21"/>
        <v>0.10651954946494982</v>
      </c>
      <c r="S53" s="69" t="s">
        <v>26</v>
      </c>
      <c r="T53" s="12">
        <f>1-SUM(T48+T49)</f>
        <v>0.37</v>
      </c>
      <c r="U53" s="12">
        <f t="shared" ref="U53:AG53" si="28">1-SUM(U48+U49)</f>
        <v>0.36753417522645271</v>
      </c>
      <c r="V53" s="12">
        <f t="shared" si="28"/>
        <v>0.36505648803236646</v>
      </c>
      <c r="W53" s="12">
        <f t="shared" si="28"/>
        <v>0.36256687293191459</v>
      </c>
      <c r="X53" s="12">
        <f t="shared" si="28"/>
        <v>0.36006526405167993</v>
      </c>
      <c r="Y53" s="12">
        <f t="shared" si="28"/>
        <v>0.35755159512829038</v>
      </c>
      <c r="Z53" s="12">
        <f t="shared" si="28"/>
        <v>0.35502579950603996</v>
      </c>
      <c r="AA53" s="12">
        <f t="shared" si="28"/>
        <v>0.35248781013449515</v>
      </c>
      <c r="AB53" s="12">
        <f t="shared" si="28"/>
        <v>0.34993755956608608</v>
      </c>
      <c r="AC53" s="12">
        <f t="shared" si="28"/>
        <v>0.3473749799536836</v>
      </c>
      <c r="AD53" s="12">
        <f t="shared" si="28"/>
        <v>0.34480000304816039</v>
      </c>
      <c r="AE53" s="12">
        <f t="shared" si="28"/>
        <v>0.34221256019593804</v>
      </c>
      <c r="AF53" s="12">
        <f t="shared" si="28"/>
        <v>0.33961258233651859</v>
      </c>
      <c r="AG53" s="12">
        <f t="shared" si="28"/>
        <v>0.33699999999999986</v>
      </c>
    </row>
    <row r="54" spans="1:33" ht="15.75" thickBot="1" x14ac:dyDescent="0.3">
      <c r="A54" s="2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21"/>
    </row>
    <row r="55" spans="1:33" x14ac:dyDescent="0.25">
      <c r="A55" s="113" t="s">
        <v>27</v>
      </c>
      <c r="B55" s="61" t="s">
        <v>28</v>
      </c>
      <c r="C55" s="56"/>
      <c r="D55" s="91">
        <f>D38*T55</f>
        <v>52.614407999999997</v>
      </c>
      <c r="E55" s="91">
        <f t="shared" ref="E55:Q55" si="29">E38*U55</f>
        <v>58.325446065312399</v>
      </c>
      <c r="F55" s="91">
        <f t="shared" si="29"/>
        <v>64.695925822094139</v>
      </c>
      <c r="G55" s="91">
        <f t="shared" si="29"/>
        <v>71.872794954834276</v>
      </c>
      <c r="H55" s="91">
        <f t="shared" si="29"/>
        <v>79.970662924043197</v>
      </c>
      <c r="I55" s="91">
        <f t="shared" si="29"/>
        <v>89.122091525552591</v>
      </c>
      <c r="J55" s="91">
        <f t="shared" si="29"/>
        <v>99.480654993493133</v>
      </c>
      <c r="K55" s="91">
        <f t="shared" si="29"/>
        <v>111.22456246400004</v>
      </c>
      <c r="L55" s="91">
        <f t="shared" si="29"/>
        <v>124.56095341919681</v>
      </c>
      <c r="M55" s="91">
        <f t="shared" si="29"/>
        <v>139.73099988841665</v>
      </c>
      <c r="N55" s="91">
        <f t="shared" si="29"/>
        <v>157.01597747605223</v>
      </c>
      <c r="O55" s="91">
        <f t="shared" si="29"/>
        <v>176.74450191425049</v>
      </c>
      <c r="P55" s="91">
        <f t="shared" si="29"/>
        <v>199.30117030081419</v>
      </c>
      <c r="Q55" s="91">
        <f t="shared" si="29"/>
        <v>225.13689834685587</v>
      </c>
      <c r="R55" s="78">
        <f>RATE(12,,-E55,Q55)</f>
        <v>0.11913475776872964</v>
      </c>
      <c r="S55" s="61" t="s">
        <v>28</v>
      </c>
      <c r="T55" s="12">
        <v>0.40099999999999997</v>
      </c>
      <c r="U55" s="12">
        <v>0.40265090533119946</v>
      </c>
      <c r="V55" s="12">
        <v>0.40430860739160734</v>
      </c>
      <c r="W55" s="12">
        <v>0.40597313416316017</v>
      </c>
      <c r="X55" s="12">
        <v>0.40764451374299493</v>
      </c>
      <c r="Y55" s="12">
        <v>0.40932277434392395</v>
      </c>
      <c r="Z55" s="12">
        <v>0.41100794429491083</v>
      </c>
      <c r="AA55" s="12">
        <v>0.4127000520415488</v>
      </c>
      <c r="AB55" s="12">
        <v>0.41439912614654062</v>
      </c>
      <c r="AC55" s="12">
        <v>0.41610519529018092</v>
      </c>
      <c r="AD55" s="12">
        <v>0.41781828827084017</v>
      </c>
      <c r="AE55" s="12">
        <v>0.4195384340054511</v>
      </c>
      <c r="AF55" s="12">
        <v>0.4212656615299965</v>
      </c>
      <c r="AG55" s="12">
        <v>0.42299999999999938</v>
      </c>
    </row>
    <row r="56" spans="1:33" x14ac:dyDescent="0.25">
      <c r="A56" s="114"/>
      <c r="B56" s="62" t="s">
        <v>29</v>
      </c>
      <c r="C56" s="47"/>
      <c r="D56" s="97">
        <f>D38*T56</f>
        <v>56.550647999999995</v>
      </c>
      <c r="E56" s="97">
        <f t="shared" ref="E56:Q56" si="30">E38*U56</f>
        <v>62.553063255279497</v>
      </c>
      <c r="F56" s="97">
        <f t="shared" si="30"/>
        <v>69.234898706394034</v>
      </c>
      <c r="G56" s="97">
        <f t="shared" si="30"/>
        <v>76.748567562233248</v>
      </c>
      <c r="H56" s="97">
        <f t="shared" si="30"/>
        <v>85.210685005772177</v>
      </c>
      <c r="I56" s="97">
        <f t="shared" si="30"/>
        <v>94.755918598848368</v>
      </c>
      <c r="J56" s="97">
        <f t="shared" si="30"/>
        <v>105.54003356319518</v>
      </c>
      <c r="K56" s="97">
        <f t="shared" si="30"/>
        <v>117.7434924810736</v>
      </c>
      <c r="L56" s="97">
        <f t="shared" si="30"/>
        <v>131.57571754551299</v>
      </c>
      <c r="M56" s="97">
        <f t="shared" si="30"/>
        <v>147.28014594895359</v>
      </c>
      <c r="N56" s="97">
        <f t="shared" si="30"/>
        <v>165.140236401685</v>
      </c>
      <c r="O56" s="97">
        <f t="shared" si="30"/>
        <v>185.48661826664201</v>
      </c>
      <c r="P56" s="97">
        <f t="shared" si="30"/>
        <v>208.7056158143962</v>
      </c>
      <c r="Q56" s="97">
        <f t="shared" si="30"/>
        <v>235.24943042390191</v>
      </c>
      <c r="R56" s="83">
        <f>RATE(12,,-E56,Q56)</f>
        <v>0.11670895774314355</v>
      </c>
      <c r="S56" s="62" t="s">
        <v>29</v>
      </c>
      <c r="T56" s="12">
        <v>0.43099999999999999</v>
      </c>
      <c r="U56" s="12">
        <v>0.43183634674261745</v>
      </c>
      <c r="V56" s="12">
        <v>0.43267431639909548</v>
      </c>
      <c r="W56" s="12">
        <v>0.43351391211866536</v>
      </c>
      <c r="X56" s="12">
        <v>0.43435513705666956</v>
      </c>
      <c r="Y56" s="12">
        <v>0.43519799437457324</v>
      </c>
      <c r="Z56" s="12">
        <v>0.43604248723997657</v>
      </c>
      <c r="AA56" s="12">
        <v>0.43688861882662616</v>
      </c>
      <c r="AB56" s="12">
        <v>0.43773639231442729</v>
      </c>
      <c r="AC56" s="12">
        <v>0.43858581088945586</v>
      </c>
      <c r="AD56" s="12">
        <v>0.43943687774397006</v>
      </c>
      <c r="AE56" s="12">
        <v>0.44028959607642287</v>
      </c>
      <c r="AF56" s="12">
        <v>0.44114396909147369</v>
      </c>
      <c r="AG56" s="12">
        <v>0.44200000000000028</v>
      </c>
    </row>
    <row r="57" spans="1:33" ht="15.75" thickBot="1" x14ac:dyDescent="0.3">
      <c r="A57" s="115"/>
      <c r="B57" s="63" t="s">
        <v>30</v>
      </c>
      <c r="C57" s="51"/>
      <c r="D57" s="92">
        <f>D38*T57</f>
        <v>22.042944000000006</v>
      </c>
      <c r="E57" s="92">
        <f t="shared" ref="E57:Q57" si="31">E38*U57</f>
        <v>23.975122679408084</v>
      </c>
      <c r="F57" s="92">
        <f t="shared" si="31"/>
        <v>26.085372602409461</v>
      </c>
      <c r="G57" s="92">
        <f t="shared" si="31"/>
        <v>28.416941022369823</v>
      </c>
      <c r="H57" s="92">
        <f t="shared" si="31"/>
        <v>30.996106268579151</v>
      </c>
      <c r="I57" s="92">
        <f t="shared" si="31"/>
        <v>33.852585658842266</v>
      </c>
      <c r="J57" s="92">
        <f t="shared" si="31"/>
        <v>37.020022272279761</v>
      </c>
      <c r="K57" s="92">
        <f t="shared" si="31"/>
        <v>40.536545099906341</v>
      </c>
      <c r="L57" s="92">
        <f t="shared" si="31"/>
        <v>44.445414179816595</v>
      </c>
      <c r="M57" s="92">
        <f t="shared" si="31"/>
        <v>48.795764218083143</v>
      </c>
      <c r="N57" s="92">
        <f t="shared" si="31"/>
        <v>53.643462402278978</v>
      </c>
      <c r="O57" s="92">
        <f t="shared" si="31"/>
        <v>59.052098681372769</v>
      </c>
      <c r="P57" s="92">
        <f t="shared" si="31"/>
        <v>65.094129769961597</v>
      </c>
      <c r="Q57" s="92">
        <f t="shared" si="31"/>
        <v>71.852201600060681</v>
      </c>
      <c r="R57" s="79">
        <f>RATE(12,,-E57,Q57)</f>
        <v>9.5779749298726027E-2</v>
      </c>
      <c r="S57" s="63" t="s">
        <v>30</v>
      </c>
      <c r="T57" s="12">
        <f>1-SUM(T55:T56)</f>
        <v>0.16800000000000004</v>
      </c>
      <c r="U57" s="12">
        <f t="shared" ref="U57:AG57" si="32">1-SUM(U55:U56)</f>
        <v>0.16551274792618309</v>
      </c>
      <c r="V57" s="12">
        <f t="shared" si="32"/>
        <v>0.16301707620929717</v>
      </c>
      <c r="W57" s="12">
        <f t="shared" si="32"/>
        <v>0.16051295371817442</v>
      </c>
      <c r="X57" s="12">
        <f t="shared" si="32"/>
        <v>0.15800034920033545</v>
      </c>
      <c r="Y57" s="12">
        <f t="shared" si="32"/>
        <v>0.15547923128150276</v>
      </c>
      <c r="Z57" s="12">
        <f t="shared" si="32"/>
        <v>0.15294956846511254</v>
      </c>
      <c r="AA57" s="12">
        <f t="shared" si="32"/>
        <v>0.15041132913182498</v>
      </c>
      <c r="AB57" s="12">
        <f t="shared" si="32"/>
        <v>0.14786448153903209</v>
      </c>
      <c r="AC57" s="12">
        <f t="shared" si="32"/>
        <v>0.14530899382036322</v>
      </c>
      <c r="AD57" s="12">
        <f t="shared" si="32"/>
        <v>0.14274483398518978</v>
      </c>
      <c r="AE57" s="12">
        <f t="shared" si="32"/>
        <v>0.14017196991812608</v>
      </c>
      <c r="AF57" s="12">
        <f t="shared" si="32"/>
        <v>0.13759036937852986</v>
      </c>
      <c r="AG57" s="12">
        <f t="shared" si="32"/>
        <v>0.13500000000000034</v>
      </c>
    </row>
    <row r="61" spans="1:33" ht="26.25" x14ac:dyDescent="0.4">
      <c r="A61" s="109" t="s">
        <v>72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70"/>
    </row>
    <row r="62" spans="1:33" ht="24" thickBot="1" x14ac:dyDescent="0.4">
      <c r="A62" s="70"/>
      <c r="B62" s="70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spans="1:33" ht="15.75" x14ac:dyDescent="0.25">
      <c r="A63" s="49"/>
      <c r="B63" s="50"/>
      <c r="C63" s="100"/>
      <c r="D63" s="98">
        <v>2023</v>
      </c>
      <c r="E63" s="72">
        <v>2024</v>
      </c>
      <c r="F63" s="72">
        <v>2025</v>
      </c>
      <c r="G63" s="72">
        <v>2026</v>
      </c>
      <c r="H63" s="72">
        <v>2027</v>
      </c>
      <c r="I63" s="72">
        <v>2028</v>
      </c>
      <c r="J63" s="72">
        <v>2029</v>
      </c>
      <c r="K63" s="72">
        <v>2030</v>
      </c>
      <c r="L63" s="72">
        <v>2031</v>
      </c>
      <c r="M63" s="72">
        <v>2032</v>
      </c>
      <c r="N63" s="72">
        <v>2033</v>
      </c>
      <c r="O63" s="72">
        <v>2034</v>
      </c>
      <c r="P63" s="72">
        <v>2035</v>
      </c>
      <c r="Q63" s="72">
        <v>2036</v>
      </c>
      <c r="R63" s="73" t="s">
        <v>13</v>
      </c>
    </row>
    <row r="64" spans="1:33" ht="16.5" thickBot="1" x14ac:dyDescent="0.3">
      <c r="A64" s="26"/>
      <c r="B64" s="101"/>
      <c r="C64" s="102"/>
      <c r="D64" s="99">
        <f>'Market Analysis'!C38</f>
        <v>65.603999999999999</v>
      </c>
      <c r="E64" s="99">
        <f>'Market Analysis'!D38</f>
        <v>72.558024000000003</v>
      </c>
      <c r="F64" s="99">
        <f>'Market Analysis'!E38</f>
        <v>78.565109276160484</v>
      </c>
      <c r="G64" s="99">
        <f>'Market Analysis'!F38</f>
        <v>85.132193211142678</v>
      </c>
      <c r="H64" s="99">
        <f>'Market Analysis'!G38</f>
        <v>92.316769623642017</v>
      </c>
      <c r="I64" s="99">
        <f>'Market Analysis'!H38</f>
        <v>100.18274247500227</v>
      </c>
      <c r="J64" s="99">
        <f>'Market Analysis'!I38</f>
        <v>108.80119429578916</v>
      </c>
      <c r="K64" s="99">
        <f>'Market Analysis'!J38</f>
        <v>118.25125291445147</v>
      </c>
      <c r="L64" s="99">
        <f>'Market Analysis'!K38</f>
        <v>128.62106982890015</v>
      </c>
      <c r="M64" s="99">
        <f>'Market Analysis'!L38</f>
        <v>140.00892547337278</v>
      </c>
      <c r="N64" s="99">
        <f>'Market Analysis'!M38</f>
        <v>152.52447883251827</v>
      </c>
      <c r="O64" s="99">
        <f>'Market Analysis'!N38</f>
        <v>166.29018138771937</v>
      </c>
      <c r="P64" s="99">
        <f>'Market Analysis'!O38</f>
        <v>181.44287830026596</v>
      </c>
      <c r="Q64" s="99">
        <f>'Market Analysis'!P38</f>
        <v>198.13562310389045</v>
      </c>
      <c r="R64" s="75">
        <f>RATE(12,,-E64,Q64)</f>
        <v>8.7317621680846946E-2</v>
      </c>
      <c r="T64" s="72">
        <v>2023</v>
      </c>
      <c r="U64" s="72">
        <v>2024</v>
      </c>
      <c r="V64" s="72">
        <v>2025</v>
      </c>
      <c r="W64" s="72">
        <v>2026</v>
      </c>
      <c r="X64" s="72">
        <v>2027</v>
      </c>
      <c r="Y64" s="72">
        <v>2028</v>
      </c>
      <c r="Z64" s="72">
        <v>2029</v>
      </c>
      <c r="AA64" s="72">
        <v>2030</v>
      </c>
      <c r="AB64" s="72">
        <v>2031</v>
      </c>
      <c r="AC64" s="72">
        <v>2032</v>
      </c>
      <c r="AD64" s="72">
        <v>2033</v>
      </c>
      <c r="AE64" s="72">
        <v>2034</v>
      </c>
      <c r="AF64" s="72">
        <v>2035</v>
      </c>
      <c r="AG64" s="72">
        <v>2036</v>
      </c>
    </row>
    <row r="65" spans="1:33" x14ac:dyDescent="0.25">
      <c r="A65" s="110" t="s">
        <v>51</v>
      </c>
      <c r="B65" s="59" t="s">
        <v>34</v>
      </c>
      <c r="C65" s="52"/>
      <c r="D65" s="86">
        <f>D64*T65</f>
        <v>36.738240000000005</v>
      </c>
      <c r="E65" s="86">
        <f t="shared" ref="E65:Q65" si="33">E64*U65</f>
        <v>40.699363907297361</v>
      </c>
      <c r="F65" s="86">
        <f t="shared" si="33"/>
        <v>44.14139371561874</v>
      </c>
      <c r="G65" s="86">
        <f t="shared" si="33"/>
        <v>47.909792760610507</v>
      </c>
      <c r="H65" s="86">
        <f t="shared" si="33"/>
        <v>52.038553622007122</v>
      </c>
      <c r="I65" s="86">
        <f t="shared" si="33"/>
        <v>56.565506724135368</v>
      </c>
      <c r="J65" s="86">
        <f t="shared" si="33"/>
        <v>61.532785595666162</v>
      </c>
      <c r="K65" s="86">
        <f t="shared" si="33"/>
        <v>66.987352257101648</v>
      </c>
      <c r="L65" s="86">
        <f t="shared" si="33"/>
        <v>72.981590972601524</v>
      </c>
      <c r="M65" s="86">
        <f t="shared" si="33"/>
        <v>79.573979793168618</v>
      </c>
      <c r="N65" s="86">
        <f t="shared" si="33"/>
        <v>86.829850689454759</v>
      </c>
      <c r="O65" s="86">
        <f t="shared" si="33"/>
        <v>94.82225065328096</v>
      </c>
      <c r="P65" s="86">
        <f t="shared" si="33"/>
        <v>103.63291797095066</v>
      </c>
      <c r="Q65" s="86">
        <f t="shared" si="33"/>
        <v>113.35338997773555</v>
      </c>
      <c r="R65" s="84">
        <f>RATE(12,,-E65,Q65)</f>
        <v>8.9107062379823757E-2</v>
      </c>
      <c r="S65" s="59" t="s">
        <v>34</v>
      </c>
      <c r="T65" s="12">
        <v>0.56000000000000005</v>
      </c>
      <c r="U65" s="12">
        <v>0.56092161367703952</v>
      </c>
      <c r="V65" s="12">
        <v>0.56184474408938223</v>
      </c>
      <c r="W65" s="12">
        <v>0.56276939373317769</v>
      </c>
      <c r="X65" s="12">
        <v>0.56369556510868446</v>
      </c>
      <c r="Y65" s="12">
        <v>0.56462326072027491</v>
      </c>
      <c r="Z65" s="12">
        <v>0.56555248307644368</v>
      </c>
      <c r="AA65" s="12">
        <v>0.56648323468981299</v>
      </c>
      <c r="AB65" s="12">
        <v>0.56741551807714108</v>
      </c>
      <c r="AC65" s="12">
        <v>0.56834933575932756</v>
      </c>
      <c r="AD65" s="12">
        <v>0.56928469026142059</v>
      </c>
      <c r="AE65" s="12">
        <v>0.57022158411262425</v>
      </c>
      <c r="AF65" s="12">
        <v>0.57116001984630527</v>
      </c>
      <c r="AG65" s="12">
        <v>0.57209999999999905</v>
      </c>
    </row>
    <row r="66" spans="1:33" ht="15.75" thickBot="1" x14ac:dyDescent="0.3">
      <c r="A66" s="111"/>
      <c r="B66" s="60" t="s">
        <v>35</v>
      </c>
      <c r="C66" s="53"/>
      <c r="D66" s="87">
        <f>D64*T66</f>
        <v>28.865759999999995</v>
      </c>
      <c r="E66" s="87">
        <f t="shared" ref="E66:Q66" si="34">E64*U66</f>
        <v>31.858660092702639</v>
      </c>
      <c r="F66" s="87">
        <f t="shared" si="34"/>
        <v>34.423715560541744</v>
      </c>
      <c r="G66" s="87">
        <f t="shared" si="34"/>
        <v>37.22240045053217</v>
      </c>
      <c r="H66" s="87">
        <f t="shared" si="34"/>
        <v>40.278216001634895</v>
      </c>
      <c r="I66" s="87">
        <f t="shared" si="34"/>
        <v>43.617235750866904</v>
      </c>
      <c r="J66" s="87">
        <f t="shared" si="34"/>
        <v>47.268408700122997</v>
      </c>
      <c r="K66" s="87">
        <f t="shared" si="34"/>
        <v>51.263900657349829</v>
      </c>
      <c r="L66" s="87">
        <f t="shared" si="34"/>
        <v>55.639478856298631</v>
      </c>
      <c r="M66" s="87">
        <f t="shared" si="34"/>
        <v>60.434945680204166</v>
      </c>
      <c r="N66" s="87">
        <f t="shared" si="34"/>
        <v>65.694628143063511</v>
      </c>
      <c r="O66" s="87">
        <f t="shared" si="34"/>
        <v>71.467930734438411</v>
      </c>
      <c r="P66" s="87">
        <f t="shared" si="34"/>
        <v>77.809960329315302</v>
      </c>
      <c r="Q66" s="87">
        <f t="shared" si="34"/>
        <v>84.782233126154907</v>
      </c>
      <c r="R66" s="85">
        <f>RATE(12,,-E66,Q66)</f>
        <v>8.4983446138120922E-2</v>
      </c>
      <c r="S66" s="60" t="s">
        <v>35</v>
      </c>
      <c r="T66" s="12">
        <f>1-T65</f>
        <v>0.43999999999999995</v>
      </c>
      <c r="U66" s="12">
        <f t="shared" ref="U66:AG66" si="35">1-U65</f>
        <v>0.43907838632296048</v>
      </c>
      <c r="V66" s="12">
        <f t="shared" si="35"/>
        <v>0.43815525591061777</v>
      </c>
      <c r="W66" s="12">
        <f t="shared" si="35"/>
        <v>0.43723060626682231</v>
      </c>
      <c r="X66" s="12">
        <f t="shared" si="35"/>
        <v>0.43630443489131554</v>
      </c>
      <c r="Y66" s="12">
        <f t="shared" si="35"/>
        <v>0.43537673927972509</v>
      </c>
      <c r="Z66" s="12">
        <f t="shared" si="35"/>
        <v>0.43444751692355632</v>
      </c>
      <c r="AA66" s="12">
        <f t="shared" si="35"/>
        <v>0.43351676531018701</v>
      </c>
      <c r="AB66" s="12">
        <f t="shared" si="35"/>
        <v>0.43258448192285892</v>
      </c>
      <c r="AC66" s="12">
        <f t="shared" si="35"/>
        <v>0.43165066424067244</v>
      </c>
      <c r="AD66" s="12">
        <f t="shared" si="35"/>
        <v>0.43071530973857941</v>
      </c>
      <c r="AE66" s="12">
        <f t="shared" si="35"/>
        <v>0.42977841588737575</v>
      </c>
      <c r="AF66" s="12">
        <f t="shared" si="35"/>
        <v>0.42883998015369473</v>
      </c>
      <c r="AG66" s="12">
        <f t="shared" si="35"/>
        <v>0.42790000000000095</v>
      </c>
    </row>
    <row r="67" spans="1:33" ht="15.75" thickBot="1" x14ac:dyDescent="0.3">
      <c r="A67" s="1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21"/>
    </row>
    <row r="68" spans="1:33" x14ac:dyDescent="0.25">
      <c r="A68" s="110" t="s">
        <v>15</v>
      </c>
      <c r="B68" s="64" t="s">
        <v>16</v>
      </c>
      <c r="C68" s="54"/>
      <c r="D68" s="89">
        <f>D64*T68</f>
        <v>30.899483999999994</v>
      </c>
      <c r="E68" s="89">
        <f t="shared" ref="E68:Q68" si="36">E64*U68</f>
        <v>34.13017821230769</v>
      </c>
      <c r="F68" s="89">
        <f t="shared" si="36"/>
        <v>36.907470949962466</v>
      </c>
      <c r="G68" s="89">
        <f t="shared" si="36"/>
        <v>39.940095876519933</v>
      </c>
      <c r="H68" s="89">
        <f t="shared" si="36"/>
        <v>43.253957213661806</v>
      </c>
      <c r="I68" s="89">
        <f t="shared" si="36"/>
        <v>46.87781711349529</v>
      </c>
      <c r="J68" s="89">
        <f t="shared" si="36"/>
        <v>50.84363502668608</v>
      </c>
      <c r="K68" s="89">
        <f t="shared" si="36"/>
        <v>55.186950110152075</v>
      </c>
      <c r="L68" s="89">
        <f t="shared" si="36"/>
        <v>59.947312468715843</v>
      </c>
      <c r="M68" s="89">
        <f t="shared" si="36"/>
        <v>65.168769849182979</v>
      </c>
      <c r="N68" s="89">
        <f t="shared" si="36"/>
        <v>70.90041735268521</v>
      </c>
      <c r="O68" s="89">
        <f t="shared" si="36"/>
        <v>77.197018821145107</v>
      </c>
      <c r="P68" s="89">
        <f t="shared" si="36"/>
        <v>84.119709808900225</v>
      </c>
      <c r="Q68" s="89">
        <f t="shared" si="36"/>
        <v>91.736793497101274</v>
      </c>
      <c r="R68" s="76">
        <f>RATE(12,,-E68,Q68)</f>
        <v>8.5884790006664519E-2</v>
      </c>
      <c r="S68" s="64" t="s">
        <v>16</v>
      </c>
      <c r="T68" s="12">
        <v>0.47099999999999992</v>
      </c>
      <c r="U68" s="12">
        <v>0.47038461538461535</v>
      </c>
      <c r="V68" s="12">
        <v>0.46976923076923072</v>
      </c>
      <c r="W68" s="12">
        <v>0.46915384615384609</v>
      </c>
      <c r="X68" s="12">
        <v>0.46853846153846151</v>
      </c>
      <c r="Y68" s="12">
        <v>0.46792307692307689</v>
      </c>
      <c r="Z68" s="12">
        <v>0.46730769230769226</v>
      </c>
      <c r="AA68" s="12">
        <v>0.46669230769230763</v>
      </c>
      <c r="AB68" s="12">
        <v>0.46607692307692306</v>
      </c>
      <c r="AC68" s="12">
        <v>0.46546153846153843</v>
      </c>
      <c r="AD68" s="12">
        <v>0.4648461538461538</v>
      </c>
      <c r="AE68" s="12">
        <v>0.46423076923076922</v>
      </c>
      <c r="AF68" s="12">
        <v>0.4636153846153846</v>
      </c>
      <c r="AG68" s="12">
        <v>0.46299999999999997</v>
      </c>
    </row>
    <row r="69" spans="1:33" ht="15.75" thickBot="1" x14ac:dyDescent="0.3">
      <c r="A69" s="111"/>
      <c r="B69" s="65" t="s">
        <v>17</v>
      </c>
      <c r="C69" s="55"/>
      <c r="D69" s="90">
        <f>D64*T69</f>
        <v>34.704516000000005</v>
      </c>
      <c r="E69" s="90">
        <f t="shared" ref="E69:Q69" si="37">E64*U69</f>
        <v>38.427845787692306</v>
      </c>
      <c r="F69" s="90">
        <f t="shared" si="37"/>
        <v>41.657638326198018</v>
      </c>
      <c r="G69" s="90">
        <f t="shared" si="37"/>
        <v>45.192097334622751</v>
      </c>
      <c r="H69" s="90">
        <f t="shared" si="37"/>
        <v>49.062812409980204</v>
      </c>
      <c r="I69" s="90">
        <f t="shared" si="37"/>
        <v>53.304925361506982</v>
      </c>
      <c r="J69" s="90">
        <f t="shared" si="37"/>
        <v>57.957559269103086</v>
      </c>
      <c r="K69" s="90">
        <f t="shared" si="37"/>
        <v>63.064302804299395</v>
      </c>
      <c r="L69" s="90">
        <f t="shared" si="37"/>
        <v>68.673757360184311</v>
      </c>
      <c r="M69" s="90">
        <f t="shared" si="37"/>
        <v>74.840155624189819</v>
      </c>
      <c r="N69" s="90">
        <f t="shared" si="37"/>
        <v>81.62406147983306</v>
      </c>
      <c r="O69" s="90">
        <f t="shared" si="37"/>
        <v>89.093162566574264</v>
      </c>
      <c r="P69" s="90">
        <f t="shared" si="37"/>
        <v>97.323168491365749</v>
      </c>
      <c r="Q69" s="90">
        <f t="shared" si="37"/>
        <v>106.39882960678918</v>
      </c>
      <c r="R69" s="77">
        <f>RATE(12,,-E69,Q69)</f>
        <v>8.8573023481401877E-2</v>
      </c>
      <c r="S69" s="65" t="s">
        <v>17</v>
      </c>
      <c r="T69" s="12">
        <f>1-T68</f>
        <v>0.52900000000000014</v>
      </c>
      <c r="U69" s="12">
        <f t="shared" ref="U69:AG69" si="38">1-U68</f>
        <v>0.5296153846153846</v>
      </c>
      <c r="V69" s="12">
        <f t="shared" si="38"/>
        <v>0.53023076923076928</v>
      </c>
      <c r="W69" s="12">
        <f t="shared" si="38"/>
        <v>0.53084615384615397</v>
      </c>
      <c r="X69" s="12">
        <f t="shared" si="38"/>
        <v>0.53146153846153843</v>
      </c>
      <c r="Y69" s="12">
        <f t="shared" si="38"/>
        <v>0.53207692307692311</v>
      </c>
      <c r="Z69" s="12">
        <f t="shared" si="38"/>
        <v>0.5326923076923078</v>
      </c>
      <c r="AA69" s="12">
        <f t="shared" si="38"/>
        <v>0.53330769230769237</v>
      </c>
      <c r="AB69" s="12">
        <f t="shared" si="38"/>
        <v>0.53392307692307694</v>
      </c>
      <c r="AC69" s="12">
        <f t="shared" si="38"/>
        <v>0.53453846153846163</v>
      </c>
      <c r="AD69" s="12">
        <f t="shared" si="38"/>
        <v>0.5351538461538462</v>
      </c>
      <c r="AE69" s="12">
        <f t="shared" si="38"/>
        <v>0.53576923076923078</v>
      </c>
      <c r="AF69" s="12">
        <f t="shared" si="38"/>
        <v>0.53638461538461546</v>
      </c>
      <c r="AG69" s="12">
        <f t="shared" si="38"/>
        <v>0.53700000000000003</v>
      </c>
    </row>
    <row r="70" spans="1:33" ht="15.75" thickBot="1" x14ac:dyDescent="0.3">
      <c r="A70" s="1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21"/>
    </row>
    <row r="71" spans="1:33" x14ac:dyDescent="0.25">
      <c r="A71" s="110" t="s">
        <v>18</v>
      </c>
      <c r="B71" s="61" t="s">
        <v>19</v>
      </c>
      <c r="C71" s="56"/>
      <c r="D71" s="91">
        <f>D64*T71</f>
        <v>26.307203999999999</v>
      </c>
      <c r="E71" s="91">
        <f t="shared" ref="E71:Q71" si="39">E64*U71</f>
        <v>29.215554052642901</v>
      </c>
      <c r="F71" s="91">
        <f t="shared" si="39"/>
        <v>31.764549921013899</v>
      </c>
      <c r="G71" s="91">
        <f t="shared" si="39"/>
        <v>34.561383296111302</v>
      </c>
      <c r="H71" s="91">
        <f t="shared" si="39"/>
        <v>37.632424663553635</v>
      </c>
      <c r="I71" s="91">
        <f t="shared" si="39"/>
        <v>41.007078091250797</v>
      </c>
      <c r="J71" s="91">
        <f t="shared" si="39"/>
        <v>44.718155204343482</v>
      </c>
      <c r="K71" s="91">
        <f t="shared" si="39"/>
        <v>48.802298231772468</v>
      </c>
      <c r="L71" s="91">
        <f t="shared" si="39"/>
        <v>53.300458941129399</v>
      </c>
      <c r="M71" s="91">
        <f t="shared" si="39"/>
        <v>58.258441276466165</v>
      </c>
      <c r="N71" s="91">
        <f t="shared" si="39"/>
        <v>63.727516665204774</v>
      </c>
      <c r="O71" s="91">
        <f t="shared" si="39"/>
        <v>69.765122289886193</v>
      </c>
      <c r="P71" s="91">
        <f t="shared" si="39"/>
        <v>76.435654157068186</v>
      </c>
      <c r="Q71" s="91">
        <f t="shared" si="39"/>
        <v>83.81136857294554</v>
      </c>
      <c r="R71" s="78">
        <f>RATE(12,,-E71,Q71)</f>
        <v>9.1794076691787338E-2</v>
      </c>
      <c r="S71" s="61" t="s">
        <v>19</v>
      </c>
      <c r="T71" s="12">
        <v>0.40099999999999997</v>
      </c>
      <c r="U71" s="12">
        <v>0.40265090533119946</v>
      </c>
      <c r="V71" s="12">
        <v>0.40430860739160734</v>
      </c>
      <c r="W71" s="12">
        <v>0.40597313416316017</v>
      </c>
      <c r="X71" s="12">
        <v>0.40764451374299493</v>
      </c>
      <c r="Y71" s="12">
        <v>0.40932277434392395</v>
      </c>
      <c r="Z71" s="12">
        <v>0.41100794429491083</v>
      </c>
      <c r="AA71" s="12">
        <v>0.4127000520415488</v>
      </c>
      <c r="AB71" s="12">
        <v>0.41439912614654062</v>
      </c>
      <c r="AC71" s="12">
        <v>0.41610519529018092</v>
      </c>
      <c r="AD71" s="12">
        <v>0.41781828827084017</v>
      </c>
      <c r="AE71" s="12">
        <v>0.4195384340054511</v>
      </c>
      <c r="AF71" s="12">
        <v>0.4212656615299965</v>
      </c>
      <c r="AG71" s="12">
        <v>0.42299999999999938</v>
      </c>
    </row>
    <row r="72" spans="1:33" ht="15.75" thickBot="1" x14ac:dyDescent="0.3">
      <c r="A72" s="111"/>
      <c r="B72" s="63" t="s">
        <v>20</v>
      </c>
      <c r="C72" s="51"/>
      <c r="D72" s="92">
        <f>D64*T72</f>
        <v>39.296796000000001</v>
      </c>
      <c r="E72" s="92">
        <f t="shared" ref="E72:Q72" si="40">E64*U72</f>
        <v>43.342469947357102</v>
      </c>
      <c r="F72" s="92">
        <f t="shared" si="40"/>
        <v>46.800559355146589</v>
      </c>
      <c r="G72" s="92">
        <f t="shared" si="40"/>
        <v>50.570809915031376</v>
      </c>
      <c r="H72" s="92">
        <f t="shared" si="40"/>
        <v>54.684344960088382</v>
      </c>
      <c r="I72" s="92">
        <f t="shared" si="40"/>
        <v>59.175664383751474</v>
      </c>
      <c r="J72" s="92">
        <f t="shared" si="40"/>
        <v>64.083039091445684</v>
      </c>
      <c r="K72" s="92">
        <f t="shared" si="40"/>
        <v>69.448954682679002</v>
      </c>
      <c r="L72" s="92">
        <f t="shared" si="40"/>
        <v>75.320610887770741</v>
      </c>
      <c r="M72" s="92">
        <f t="shared" si="40"/>
        <v>81.750484196906626</v>
      </c>
      <c r="N72" s="92">
        <f t="shared" si="40"/>
        <v>88.796962167313495</v>
      </c>
      <c r="O72" s="92">
        <f t="shared" si="40"/>
        <v>96.525059097833179</v>
      </c>
      <c r="P72" s="92">
        <f t="shared" si="40"/>
        <v>105.00722414319776</v>
      </c>
      <c r="Q72" s="92">
        <f t="shared" si="40"/>
        <v>114.32425453094491</v>
      </c>
      <c r="R72" s="79">
        <f>RATE(12,,-E72,Q72)</f>
        <v>8.418166906868027E-2</v>
      </c>
      <c r="S72" s="63" t="s">
        <v>20</v>
      </c>
      <c r="T72" s="12">
        <f>1-T71</f>
        <v>0.59899999999999998</v>
      </c>
      <c r="U72" s="12">
        <f t="shared" ref="U72:AG72" si="41">1-U71</f>
        <v>0.59734909466880048</v>
      </c>
      <c r="V72" s="12">
        <f t="shared" si="41"/>
        <v>0.59569139260839266</v>
      </c>
      <c r="W72" s="12">
        <f t="shared" si="41"/>
        <v>0.59402686583683983</v>
      </c>
      <c r="X72" s="12">
        <f t="shared" si="41"/>
        <v>0.59235548625700507</v>
      </c>
      <c r="Y72" s="12">
        <f t="shared" si="41"/>
        <v>0.59067722565607605</v>
      </c>
      <c r="Z72" s="12">
        <f t="shared" si="41"/>
        <v>0.58899205570508917</v>
      </c>
      <c r="AA72" s="12">
        <f t="shared" si="41"/>
        <v>0.5872999479584512</v>
      </c>
      <c r="AB72" s="12">
        <f t="shared" si="41"/>
        <v>0.58560087385345938</v>
      </c>
      <c r="AC72" s="12">
        <f t="shared" si="41"/>
        <v>0.58389480470981914</v>
      </c>
      <c r="AD72" s="12">
        <f t="shared" si="41"/>
        <v>0.58218171172915989</v>
      </c>
      <c r="AE72" s="12">
        <f t="shared" si="41"/>
        <v>0.5804615659945489</v>
      </c>
      <c r="AF72" s="12">
        <f t="shared" si="41"/>
        <v>0.57873433847000344</v>
      </c>
      <c r="AG72" s="12">
        <f t="shared" si="41"/>
        <v>0.57700000000000062</v>
      </c>
    </row>
    <row r="73" spans="1:33" ht="15.75" thickBot="1" x14ac:dyDescent="0.3">
      <c r="A73" s="2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21"/>
    </row>
    <row r="74" spans="1:33" x14ac:dyDescent="0.25">
      <c r="A74" s="110" t="s">
        <v>14</v>
      </c>
      <c r="B74" s="66" t="s">
        <v>21</v>
      </c>
      <c r="C74" s="57"/>
      <c r="D74" s="93">
        <f>D64*T74</f>
        <v>16.401</v>
      </c>
      <c r="E74" s="93">
        <f t="shared" ref="E74:Q74" si="42">E64*U74</f>
        <v>18.252401597593089</v>
      </c>
      <c r="F74" s="93">
        <f t="shared" si="42"/>
        <v>19.88652259148185</v>
      </c>
      <c r="G74" s="93">
        <f t="shared" si="42"/>
        <v>21.682907205167758</v>
      </c>
      <c r="H74" s="93">
        <f t="shared" si="42"/>
        <v>23.659134242308838</v>
      </c>
      <c r="I74" s="93">
        <f t="shared" si="42"/>
        <v>25.834836996163574</v>
      </c>
      <c r="J74" s="93">
        <f t="shared" si="42"/>
        <v>28.231960145525992</v>
      </c>
      <c r="K74" s="93">
        <f t="shared" si="42"/>
        <v>30.875050797653852</v>
      </c>
      <c r="L74" s="93">
        <f t="shared" si="42"/>
        <v>33.791588478249757</v>
      </c>
      <c r="M74" s="93">
        <f t="shared" si="42"/>
        <v>37.012359579104086</v>
      </c>
      <c r="N74" s="93">
        <f t="shared" si="42"/>
        <v>40.571882594927239</v>
      </c>
      <c r="O74" s="93">
        <f t="shared" si="42"/>
        <v>44.508891430119476</v>
      </c>
      <c r="P74" s="93">
        <f t="shared" si="42"/>
        <v>48.866885154726091</v>
      </c>
      <c r="Q74" s="93">
        <f t="shared" si="42"/>
        <v>53.694753861154339</v>
      </c>
      <c r="R74" s="80">
        <f t="shared" ref="R74:R79" si="43">RATE(12,,-E74,Q74)</f>
        <v>9.4084805565429586E-2</v>
      </c>
      <c r="S74" s="66" t="s">
        <v>21</v>
      </c>
      <c r="T74" s="12">
        <v>0.25</v>
      </c>
      <c r="U74" s="12">
        <v>0.25155593539307364</v>
      </c>
      <c r="V74" s="12">
        <v>0.25312155452593693</v>
      </c>
      <c r="W74" s="12">
        <v>0.25469691766768382</v>
      </c>
      <c r="X74" s="12">
        <v>0.25628208546250747</v>
      </c>
      <c r="Y74" s="12">
        <v>0.2578771189320348</v>
      </c>
      <c r="Z74" s="12">
        <v>0.25948207947767565</v>
      </c>
      <c r="AA74" s="12">
        <v>0.2610970288829863</v>
      </c>
      <c r="AB74" s="12">
        <v>0.26272202931604799</v>
      </c>
      <c r="AC74" s="12">
        <v>0.26435714333185978</v>
      </c>
      <c r="AD74" s="12">
        <v>0.26600243387474731</v>
      </c>
      <c r="AE74" s="12">
        <v>0.26765796428078514</v>
      </c>
      <c r="AF74" s="12">
        <v>0.26932379828023517</v>
      </c>
      <c r="AG74" s="12">
        <v>0.27100000000000013</v>
      </c>
    </row>
    <row r="75" spans="1:33" x14ac:dyDescent="0.25">
      <c r="A75" s="112"/>
      <c r="B75" s="67" t="s">
        <v>22</v>
      </c>
      <c r="C75" s="48"/>
      <c r="D75" s="94">
        <f>D64*T75</f>
        <v>24.92952</v>
      </c>
      <c r="E75" s="94">
        <f t="shared" ref="E75:Q75" si="44">E64*U75</f>
        <v>27.638068895505757</v>
      </c>
      <c r="F75" s="94">
        <f t="shared" si="44"/>
        <v>29.997883810444392</v>
      </c>
      <c r="G75" s="94">
        <f t="shared" si="44"/>
        <v>32.583172927575347</v>
      </c>
      <c r="H75" s="94">
        <f t="shared" si="44"/>
        <v>35.41757335039842</v>
      </c>
      <c r="I75" s="94">
        <f t="shared" si="44"/>
        <v>38.527406102574901</v>
      </c>
      <c r="J75" s="94">
        <f t="shared" si="44"/>
        <v>41.942003158188626</v>
      </c>
      <c r="K75" s="94">
        <f t="shared" si="44"/>
        <v>45.694076931322279</v>
      </c>
      <c r="L75" s="94">
        <f t="shared" si="44"/>
        <v>49.820138065945926</v>
      </c>
      <c r="M75" s="94">
        <f t="shared" si="44"/>
        <v>54.360968214619056</v>
      </c>
      <c r="N75" s="94">
        <f t="shared" si="44"/>
        <v>59.362155471219666</v>
      </c>
      <c r="O75" s="94">
        <f t="shared" si="44"/>
        <v>64.874701249461523</v>
      </c>
      <c r="P75" s="94">
        <f t="shared" si="44"/>
        <v>70.955708699415879</v>
      </c>
      <c r="Q75" s="94">
        <f t="shared" si="44"/>
        <v>77.669164256725054</v>
      </c>
      <c r="R75" s="81">
        <f t="shared" si="43"/>
        <v>8.9921144738016615E-2</v>
      </c>
      <c r="S75" s="67" t="s">
        <v>22</v>
      </c>
      <c r="T75" s="12">
        <v>0.38</v>
      </c>
      <c r="U75" s="12">
        <v>0.38090988938047371</v>
      </c>
      <c r="V75" s="12">
        <v>0.38182195744169661</v>
      </c>
      <c r="W75" s="12">
        <v>0.38273620940040159</v>
      </c>
      <c r="X75" s="12">
        <v>0.38365265048581265</v>
      </c>
      <c r="Y75" s="12">
        <v>0.38457128593967477</v>
      </c>
      <c r="Z75" s="12">
        <v>0.38549212101628438</v>
      </c>
      <c r="AA75" s="12">
        <v>0.38641516098251855</v>
      </c>
      <c r="AB75" s="12">
        <v>0.38734041111786593</v>
      </c>
      <c r="AC75" s="12">
        <v>0.38826787671445667</v>
      </c>
      <c r="AD75" s="12">
        <v>0.38919756307709236</v>
      </c>
      <c r="AE75" s="12">
        <v>0.39012947552327681</v>
      </c>
      <c r="AF75" s="12">
        <v>0.3910636193832463</v>
      </c>
      <c r="AG75" s="12">
        <v>0.39200000000000002</v>
      </c>
    </row>
    <row r="76" spans="1:33" x14ac:dyDescent="0.25">
      <c r="A76" s="112"/>
      <c r="B76" s="68" t="s">
        <v>23</v>
      </c>
      <c r="C76" s="48"/>
      <c r="D76" s="95">
        <f>D75*T76</f>
        <v>8.7253319999999963</v>
      </c>
      <c r="E76" s="95">
        <f t="shared" ref="E76:Q76" si="45">E75*U76</f>
        <v>9.6563511295622693</v>
      </c>
      <c r="F76" s="95">
        <f t="shared" si="45"/>
        <v>10.462447289014825</v>
      </c>
      <c r="G76" s="95">
        <f t="shared" si="45"/>
        <v>11.344186235936085</v>
      </c>
      <c r="H76" s="95">
        <f t="shared" si="45"/>
        <v>12.30937737570224</v>
      </c>
      <c r="I76" s="95">
        <f t="shared" si="45"/>
        <v>13.366705048554488</v>
      </c>
      <c r="J76" s="95">
        <f t="shared" si="45"/>
        <v>14.525833870025021</v>
      </c>
      <c r="K76" s="95">
        <f t="shared" si="45"/>
        <v>15.797527600304505</v>
      </c>
      <c r="L76" s="95">
        <f t="shared" si="45"/>
        <v>17.193783385233814</v>
      </c>
      <c r="M76" s="95">
        <f t="shared" si="45"/>
        <v>18.727983476513558</v>
      </c>
      <c r="N76" s="95">
        <f t="shared" si="45"/>
        <v>20.415066843677305</v>
      </c>
      <c r="O76" s="95">
        <f t="shared" si="45"/>
        <v>22.271723441709543</v>
      </c>
      <c r="P76" s="95">
        <f t="shared" si="45"/>
        <v>24.316614303299129</v>
      </c>
      <c r="Q76" s="95">
        <f t="shared" si="45"/>
        <v>26.570621092225625</v>
      </c>
      <c r="R76" s="81">
        <f t="shared" si="43"/>
        <v>8.8008750001489777E-2</v>
      </c>
      <c r="S76" s="68" t="s">
        <v>23</v>
      </c>
      <c r="T76" s="74">
        <v>0.34999999999999987</v>
      </c>
      <c r="U76" s="74">
        <v>0.34938588387166564</v>
      </c>
      <c r="V76" s="74">
        <v>0.34877284528224306</v>
      </c>
      <c r="W76" s="74">
        <v>0.34816088234106346</v>
      </c>
      <c r="X76" s="74">
        <v>0.34754999316077562</v>
      </c>
      <c r="Y76" s="74">
        <v>0.34694017585733994</v>
      </c>
      <c r="Z76" s="74">
        <v>0.34633142855002247</v>
      </c>
      <c r="AA76" s="74">
        <v>0.34572374936138933</v>
      </c>
      <c r="AB76" s="74">
        <v>0.34511713641730069</v>
      </c>
      <c r="AC76" s="74">
        <v>0.34451158784690528</v>
      </c>
      <c r="AD76" s="74">
        <v>0.34390710178263434</v>
      </c>
      <c r="AE76" s="74">
        <v>0.34330367636019604</v>
      </c>
      <c r="AF76" s="74">
        <v>0.34270130971856966</v>
      </c>
      <c r="AG76" s="74">
        <v>0.34209999999999979</v>
      </c>
    </row>
    <row r="77" spans="1:33" x14ac:dyDescent="0.25">
      <c r="A77" s="112"/>
      <c r="B77" s="68" t="s">
        <v>24</v>
      </c>
      <c r="C77" s="48"/>
      <c r="D77" s="95">
        <f>D75*T77</f>
        <v>6.980265600000001</v>
      </c>
      <c r="E77" s="95">
        <f t="shared" ref="E77:Q77" si="46">E75*U77</f>
        <v>7.765722164574262</v>
      </c>
      <c r="F77" s="95">
        <f t="shared" si="46"/>
        <v>8.4582573432907378</v>
      </c>
      <c r="G77" s="95">
        <f t="shared" si="46"/>
        <v>9.2193387211929227</v>
      </c>
      <c r="H77" s="95">
        <f t="shared" si="46"/>
        <v>10.056371817307751</v>
      </c>
      <c r="I77" s="95">
        <f t="shared" si="46"/>
        <v>10.977625559756273</v>
      </c>
      <c r="J77" s="95">
        <f t="shared" si="46"/>
        <v>11.992340012721213</v>
      </c>
      <c r="K77" s="95">
        <f t="shared" si="46"/>
        <v>13.110848394310301</v>
      </c>
      <c r="L77" s="95">
        <f t="shared" si="46"/>
        <v>14.344715390538443</v>
      </c>
      <c r="M77" s="95">
        <f t="shared" si="46"/>
        <v>15.7068940669825</v>
      </c>
      <c r="N77" s="95">
        <f t="shared" si="46"/>
        <v>17.211904021949639</v>
      </c>
      <c r="O77" s="95">
        <f t="shared" si="46"/>
        <v>18.876033820700098</v>
      </c>
      <c r="P77" s="95">
        <f t="shared" si="46"/>
        <v>20.71757120809664</v>
      </c>
      <c r="Q77" s="95">
        <f t="shared" si="46"/>
        <v>22.757065127220415</v>
      </c>
      <c r="R77" s="81">
        <f t="shared" si="43"/>
        <v>9.3732709148481655E-2</v>
      </c>
      <c r="S77" s="68" t="s">
        <v>24</v>
      </c>
      <c r="T77" s="74">
        <v>0.28000000000000003</v>
      </c>
      <c r="U77" s="74">
        <v>0.28097918830490543</v>
      </c>
      <c r="V77" s="74">
        <v>0.28196180093029821</v>
      </c>
      <c r="W77" s="74">
        <v>0.28294784985137333</v>
      </c>
      <c r="X77" s="74">
        <v>0.28393734708520407</v>
      </c>
      <c r="Y77" s="74">
        <v>0.28493030469088876</v>
      </c>
      <c r="Z77" s="74">
        <v>0.28592673476969749</v>
      </c>
      <c r="AA77" s="74">
        <v>0.28692664946521995</v>
      </c>
      <c r="AB77" s="74">
        <v>0.28793006096351298</v>
      </c>
      <c r="AC77" s="74">
        <v>0.28893698149324931</v>
      </c>
      <c r="AD77" s="74">
        <v>0.28994742332586665</v>
      </c>
      <c r="AE77" s="74">
        <v>0.29096139877571725</v>
      </c>
      <c r="AF77" s="74">
        <v>0.29197892020021765</v>
      </c>
      <c r="AG77" s="74">
        <v>0.29299999999999965</v>
      </c>
    </row>
    <row r="78" spans="1:33" x14ac:dyDescent="0.25">
      <c r="A78" s="112"/>
      <c r="B78" s="68" t="s">
        <v>25</v>
      </c>
      <c r="C78" s="48"/>
      <c r="D78" s="95">
        <f>D75*T78</f>
        <v>9.2239224000000029</v>
      </c>
      <c r="E78" s="95">
        <f t="shared" ref="E78:Q78" si="47">E75*U78</f>
        <v>10.215995601369228</v>
      </c>
      <c r="F78" s="95">
        <f t="shared" si="47"/>
        <v>11.077179178138829</v>
      </c>
      <c r="G78" s="95">
        <f t="shared" si="47"/>
        <v>12.019647970446341</v>
      </c>
      <c r="H78" s="95">
        <f t="shared" si="47"/>
        <v>13.051824157388427</v>
      </c>
      <c r="I78" s="95">
        <f t="shared" si="47"/>
        <v>14.183075494264139</v>
      </c>
      <c r="J78" s="95">
        <f t="shared" si="47"/>
        <v>15.423829275442392</v>
      </c>
      <c r="K78" s="95">
        <f t="shared" si="47"/>
        <v>16.785700936707475</v>
      </c>
      <c r="L78" s="95">
        <f t="shared" si="47"/>
        <v>18.281639290173668</v>
      </c>
      <c r="M78" s="95">
        <f t="shared" si="47"/>
        <v>19.926090671122999</v>
      </c>
      <c r="N78" s="95">
        <f t="shared" si="47"/>
        <v>21.735184605592718</v>
      </c>
      <c r="O78" s="95">
        <f t="shared" si="47"/>
        <v>23.726943987051879</v>
      </c>
      <c r="P78" s="95">
        <f t="shared" si="47"/>
        <v>25.921523188020117</v>
      </c>
      <c r="Q78" s="95">
        <f t="shared" si="47"/>
        <v>28.341478037279014</v>
      </c>
      <c r="R78" s="81">
        <f t="shared" si="43"/>
        <v>8.8750790094419912E-2</v>
      </c>
      <c r="S78" s="68" t="s">
        <v>25</v>
      </c>
      <c r="T78" s="74">
        <f>1-SUM(T76:T77)</f>
        <v>0.37000000000000011</v>
      </c>
      <c r="U78" s="74">
        <f t="shared" ref="U78:AG78" si="48">1-SUM(U76:U77)</f>
        <v>0.36963492782342899</v>
      </c>
      <c r="V78" s="74">
        <f t="shared" si="48"/>
        <v>0.36926535378745873</v>
      </c>
      <c r="W78" s="74">
        <f t="shared" si="48"/>
        <v>0.36889126780756321</v>
      </c>
      <c r="X78" s="74">
        <f t="shared" si="48"/>
        <v>0.36851265975402026</v>
      </c>
      <c r="Y78" s="74">
        <f t="shared" si="48"/>
        <v>0.3681295194517713</v>
      </c>
      <c r="Z78" s="74">
        <f t="shared" si="48"/>
        <v>0.36774183668028004</v>
      </c>
      <c r="AA78" s="74">
        <f t="shared" si="48"/>
        <v>0.36734960117339077</v>
      </c>
      <c r="AB78" s="74">
        <f t="shared" si="48"/>
        <v>0.36695280261918639</v>
      </c>
      <c r="AC78" s="74">
        <f t="shared" si="48"/>
        <v>0.36655143065984541</v>
      </c>
      <c r="AD78" s="74">
        <f t="shared" si="48"/>
        <v>0.36614547489149896</v>
      </c>
      <c r="AE78" s="74">
        <f t="shared" si="48"/>
        <v>0.36573492486408665</v>
      </c>
      <c r="AF78" s="74">
        <f t="shared" si="48"/>
        <v>0.36531977008121275</v>
      </c>
      <c r="AG78" s="74">
        <f t="shared" si="48"/>
        <v>0.36490000000000056</v>
      </c>
    </row>
    <row r="79" spans="1:33" ht="15.75" thickBot="1" x14ac:dyDescent="0.3">
      <c r="A79" s="111"/>
      <c r="B79" s="69" t="s">
        <v>26</v>
      </c>
      <c r="C79" s="58"/>
      <c r="D79" s="96">
        <f>D64*T79</f>
        <v>24.273479999999999</v>
      </c>
      <c r="E79" s="96">
        <f t="shared" ref="E79:Q79" si="49">E64*U79</f>
        <v>26.667553506901161</v>
      </c>
      <c r="F79" s="96">
        <f t="shared" si="49"/>
        <v>28.680702874234242</v>
      </c>
      <c r="G79" s="96">
        <f t="shared" si="49"/>
        <v>30.866113078399568</v>
      </c>
      <c r="H79" s="96">
        <f t="shared" si="49"/>
        <v>33.240062030934766</v>
      </c>
      <c r="I79" s="96">
        <f t="shared" si="49"/>
        <v>35.82049937626379</v>
      </c>
      <c r="J79" s="96">
        <f t="shared" si="49"/>
        <v>38.627230992074544</v>
      </c>
      <c r="K79" s="96">
        <f t="shared" si="49"/>
        <v>41.682125185475336</v>
      </c>
      <c r="L79" s="96">
        <f t="shared" si="49"/>
        <v>45.009343284704464</v>
      </c>
      <c r="M79" s="96">
        <f t="shared" si="49"/>
        <v>48.635597679649649</v>
      </c>
      <c r="N79" s="96">
        <f t="shared" si="49"/>
        <v>52.590440766371373</v>
      </c>
      <c r="O79" s="96">
        <f t="shared" si="49"/>
        <v>56.906588708138372</v>
      </c>
      <c r="P79" s="96">
        <f t="shared" si="49"/>
        <v>61.620284446123996</v>
      </c>
      <c r="Q79" s="96">
        <f t="shared" si="49"/>
        <v>66.771704986011059</v>
      </c>
      <c r="R79" s="82">
        <f t="shared" si="43"/>
        <v>7.9487060391757361E-2</v>
      </c>
      <c r="S79" s="69" t="s">
        <v>26</v>
      </c>
      <c r="T79" s="12">
        <f>1-SUM(T74+T75)</f>
        <v>0.37</v>
      </c>
      <c r="U79" s="12">
        <f t="shared" ref="U79:AG79" si="50">1-SUM(U74+U75)</f>
        <v>0.36753417522645271</v>
      </c>
      <c r="V79" s="12">
        <f t="shared" si="50"/>
        <v>0.36505648803236646</v>
      </c>
      <c r="W79" s="12">
        <f t="shared" si="50"/>
        <v>0.36256687293191459</v>
      </c>
      <c r="X79" s="12">
        <f t="shared" si="50"/>
        <v>0.36006526405167993</v>
      </c>
      <c r="Y79" s="12">
        <f t="shared" si="50"/>
        <v>0.35755159512829038</v>
      </c>
      <c r="Z79" s="12">
        <f t="shared" si="50"/>
        <v>0.35502579950603996</v>
      </c>
      <c r="AA79" s="12">
        <f t="shared" si="50"/>
        <v>0.35248781013449515</v>
      </c>
      <c r="AB79" s="12">
        <f t="shared" si="50"/>
        <v>0.34993755956608608</v>
      </c>
      <c r="AC79" s="12">
        <f t="shared" si="50"/>
        <v>0.3473749799536836</v>
      </c>
      <c r="AD79" s="12">
        <f t="shared" si="50"/>
        <v>0.34480000304816039</v>
      </c>
      <c r="AE79" s="12">
        <f t="shared" si="50"/>
        <v>0.34221256019593804</v>
      </c>
      <c r="AF79" s="12">
        <f t="shared" si="50"/>
        <v>0.33961258233651859</v>
      </c>
      <c r="AG79" s="12">
        <f t="shared" si="50"/>
        <v>0.33699999999999986</v>
      </c>
    </row>
    <row r="80" spans="1:33" ht="15.75" thickBot="1" x14ac:dyDescent="0.3">
      <c r="A80" s="2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21"/>
    </row>
    <row r="81" spans="1:33" x14ac:dyDescent="0.25">
      <c r="A81" s="113" t="s">
        <v>27</v>
      </c>
      <c r="B81" s="61" t="s">
        <v>28</v>
      </c>
      <c r="C81" s="56"/>
      <c r="D81" s="91">
        <f>D64*T81</f>
        <v>26.307203999999999</v>
      </c>
      <c r="E81" s="91">
        <f t="shared" ref="E81:Q81" si="51">E64*U81</f>
        <v>29.215554052642901</v>
      </c>
      <c r="F81" s="91">
        <f t="shared" si="51"/>
        <v>31.764549921013899</v>
      </c>
      <c r="G81" s="91">
        <f t="shared" si="51"/>
        <v>34.561383296111302</v>
      </c>
      <c r="H81" s="91">
        <f t="shared" si="51"/>
        <v>37.632424663553635</v>
      </c>
      <c r="I81" s="91">
        <f t="shared" si="51"/>
        <v>41.007078091250797</v>
      </c>
      <c r="J81" s="91">
        <f t="shared" si="51"/>
        <v>44.718155204343482</v>
      </c>
      <c r="K81" s="91">
        <f t="shared" si="51"/>
        <v>48.802298231772468</v>
      </c>
      <c r="L81" s="91">
        <f t="shared" si="51"/>
        <v>53.300458941129399</v>
      </c>
      <c r="M81" s="91">
        <f t="shared" si="51"/>
        <v>58.258441276466165</v>
      </c>
      <c r="N81" s="91">
        <f t="shared" si="51"/>
        <v>63.727516665204774</v>
      </c>
      <c r="O81" s="91">
        <f t="shared" si="51"/>
        <v>69.765122289886193</v>
      </c>
      <c r="P81" s="91">
        <f t="shared" si="51"/>
        <v>76.435654157068186</v>
      </c>
      <c r="Q81" s="91">
        <f t="shared" si="51"/>
        <v>83.81136857294554</v>
      </c>
      <c r="R81" s="78">
        <f>RATE(12,,-E81,Q81)</f>
        <v>9.1794076691787338E-2</v>
      </c>
      <c r="S81" s="61" t="s">
        <v>28</v>
      </c>
      <c r="T81" s="12">
        <v>0.40099999999999997</v>
      </c>
      <c r="U81" s="12">
        <v>0.40265090533119946</v>
      </c>
      <c r="V81" s="12">
        <v>0.40430860739160734</v>
      </c>
      <c r="W81" s="12">
        <v>0.40597313416316017</v>
      </c>
      <c r="X81" s="12">
        <v>0.40764451374299493</v>
      </c>
      <c r="Y81" s="12">
        <v>0.40932277434392395</v>
      </c>
      <c r="Z81" s="12">
        <v>0.41100794429491083</v>
      </c>
      <c r="AA81" s="12">
        <v>0.4127000520415488</v>
      </c>
      <c r="AB81" s="12">
        <v>0.41439912614654062</v>
      </c>
      <c r="AC81" s="12">
        <v>0.41610519529018092</v>
      </c>
      <c r="AD81" s="12">
        <v>0.41781828827084017</v>
      </c>
      <c r="AE81" s="12">
        <v>0.4195384340054511</v>
      </c>
      <c r="AF81" s="12">
        <v>0.4212656615299965</v>
      </c>
      <c r="AG81" s="12">
        <v>0.42299999999999938</v>
      </c>
    </row>
    <row r="82" spans="1:33" x14ac:dyDescent="0.25">
      <c r="A82" s="114"/>
      <c r="B82" s="62" t="s">
        <v>29</v>
      </c>
      <c r="C82" s="47"/>
      <c r="D82" s="97">
        <f>D64*T82</f>
        <v>28.275323999999998</v>
      </c>
      <c r="E82" s="97">
        <f t="shared" ref="E82:Q82" si="52">E64*U82</f>
        <v>31.333192011023161</v>
      </c>
      <c r="F82" s="97">
        <f t="shared" si="52"/>
        <v>33.993104948882973</v>
      </c>
      <c r="G82" s="97">
        <f t="shared" si="52"/>
        <v>36.905990126204543</v>
      </c>
      <c r="H82" s="97">
        <f t="shared" si="52"/>
        <v>40.098263122506019</v>
      </c>
      <c r="I82" s="97">
        <f t="shared" si="52"/>
        <v>43.599328596065355</v>
      </c>
      <c r="J82" s="97">
        <f t="shared" si="52"/>
        <v>47.441943375415853</v>
      </c>
      <c r="K82" s="97">
        <f t="shared" si="52"/>
        <v>51.662626560312752</v>
      </c>
      <c r="L82" s="97">
        <f t="shared" si="52"/>
        <v>56.30212308252478</v>
      </c>
      <c r="M82" s="97">
        <f t="shared" si="52"/>
        <v>61.405928110500597</v>
      </c>
      <c r="N82" s="97">
        <f t="shared" si="52"/>
        <v>67.024880757688081</v>
      </c>
      <c r="O82" s="97">
        <f t="shared" si="52"/>
        <v>73.215836794674061</v>
      </c>
      <c r="P82" s="97">
        <f t="shared" si="52"/>
        <v>80.042431496760543</v>
      </c>
      <c r="Q82" s="97">
        <f t="shared" si="52"/>
        <v>87.575945411919633</v>
      </c>
      <c r="R82" s="83">
        <f>RATE(12,,-E82,Q82)</f>
        <v>8.942753943278027E-2</v>
      </c>
      <c r="S82" s="62" t="s">
        <v>29</v>
      </c>
      <c r="T82" s="12">
        <v>0.43099999999999999</v>
      </c>
      <c r="U82" s="12">
        <v>0.43183634674261745</v>
      </c>
      <c r="V82" s="12">
        <v>0.43267431639909548</v>
      </c>
      <c r="W82" s="12">
        <v>0.43351391211866536</v>
      </c>
      <c r="X82" s="12">
        <v>0.43435513705666956</v>
      </c>
      <c r="Y82" s="12">
        <v>0.43519799437457324</v>
      </c>
      <c r="Z82" s="12">
        <v>0.43604248723997657</v>
      </c>
      <c r="AA82" s="12">
        <v>0.43688861882662616</v>
      </c>
      <c r="AB82" s="12">
        <v>0.43773639231442729</v>
      </c>
      <c r="AC82" s="12">
        <v>0.43858581088945586</v>
      </c>
      <c r="AD82" s="12">
        <v>0.43943687774397006</v>
      </c>
      <c r="AE82" s="12">
        <v>0.44028959607642287</v>
      </c>
      <c r="AF82" s="12">
        <v>0.44114396909147369</v>
      </c>
      <c r="AG82" s="12">
        <v>0.44200000000000028</v>
      </c>
    </row>
    <row r="83" spans="1:33" ht="15.75" thickBot="1" x14ac:dyDescent="0.3">
      <c r="A83" s="115"/>
      <c r="B83" s="63" t="s">
        <v>30</v>
      </c>
      <c r="C83" s="51"/>
      <c r="D83" s="92">
        <f>D64*T83</f>
        <v>11.021472000000003</v>
      </c>
      <c r="E83" s="92">
        <f t="shared" ref="E83:Q83" si="53">E64*U83</f>
        <v>12.009277936333943</v>
      </c>
      <c r="F83" s="92">
        <f t="shared" si="53"/>
        <v>12.807454406263615</v>
      </c>
      <c r="G83" s="92">
        <f t="shared" si="53"/>
        <v>13.664819788826827</v>
      </c>
      <c r="H83" s="92">
        <f t="shared" si="53"/>
        <v>14.586081837582359</v>
      </c>
      <c r="I83" s="92">
        <f t="shared" si="53"/>
        <v>15.576335787686109</v>
      </c>
      <c r="J83" s="92">
        <f t="shared" si="53"/>
        <v>16.641095716029817</v>
      </c>
      <c r="K83" s="92">
        <f t="shared" si="53"/>
        <v>17.786328122366239</v>
      </c>
      <c r="L83" s="92">
        <f t="shared" si="53"/>
        <v>19.018487805245964</v>
      </c>
      <c r="M83" s="92">
        <f t="shared" si="53"/>
        <v>20.344556086406019</v>
      </c>
      <c r="N83" s="92">
        <f t="shared" si="53"/>
        <v>21.772081409625414</v>
      </c>
      <c r="O83" s="92">
        <f t="shared" si="53"/>
        <v>23.309222303159128</v>
      </c>
      <c r="P83" s="92">
        <f t="shared" si="53"/>
        <v>24.964792646437235</v>
      </c>
      <c r="Q83" s="92">
        <f t="shared" si="53"/>
        <v>26.748309119025279</v>
      </c>
      <c r="R83" s="79">
        <f>RATE(12,,-E83,Q83)</f>
        <v>6.9009635649791234E-2</v>
      </c>
      <c r="S83" s="63" t="s">
        <v>30</v>
      </c>
      <c r="T83" s="12">
        <f>1-SUM(T81:T82)</f>
        <v>0.16800000000000004</v>
      </c>
      <c r="U83" s="12">
        <f t="shared" ref="U83:AG83" si="54">1-SUM(U81:U82)</f>
        <v>0.16551274792618309</v>
      </c>
      <c r="V83" s="12">
        <f t="shared" si="54"/>
        <v>0.16301707620929717</v>
      </c>
      <c r="W83" s="12">
        <f t="shared" si="54"/>
        <v>0.16051295371817442</v>
      </c>
      <c r="X83" s="12">
        <f t="shared" si="54"/>
        <v>0.15800034920033545</v>
      </c>
      <c r="Y83" s="12">
        <f t="shared" si="54"/>
        <v>0.15547923128150276</v>
      </c>
      <c r="Z83" s="12">
        <f t="shared" si="54"/>
        <v>0.15294956846511254</v>
      </c>
      <c r="AA83" s="12">
        <f t="shared" si="54"/>
        <v>0.15041132913182498</v>
      </c>
      <c r="AB83" s="12">
        <f t="shared" si="54"/>
        <v>0.14786448153903209</v>
      </c>
      <c r="AC83" s="12">
        <f t="shared" si="54"/>
        <v>0.14530899382036322</v>
      </c>
      <c r="AD83" s="12">
        <f t="shared" si="54"/>
        <v>0.14274483398518978</v>
      </c>
      <c r="AE83" s="12">
        <f t="shared" si="54"/>
        <v>0.14017196991812608</v>
      </c>
      <c r="AF83" s="12">
        <f t="shared" si="54"/>
        <v>0.13759036937852986</v>
      </c>
      <c r="AG83" s="12">
        <f t="shared" si="54"/>
        <v>0.13500000000000034</v>
      </c>
    </row>
    <row r="86" spans="1:33" ht="26.25" x14ac:dyDescent="0.4">
      <c r="A86" s="109" t="s">
        <v>73</v>
      </c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70"/>
    </row>
    <row r="87" spans="1:33" ht="24" thickBot="1" x14ac:dyDescent="0.4">
      <c r="A87" s="70"/>
      <c r="B87" s="70"/>
      <c r="C87" s="70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 spans="1:33" ht="15.75" x14ac:dyDescent="0.25">
      <c r="A88" s="49"/>
      <c r="B88" s="50"/>
      <c r="C88" s="100"/>
      <c r="D88" s="98">
        <v>2023</v>
      </c>
      <c r="E88" s="72">
        <v>2024</v>
      </c>
      <c r="F88" s="72">
        <v>2025</v>
      </c>
      <c r="G88" s="72">
        <v>2026</v>
      </c>
      <c r="H88" s="72">
        <v>2027</v>
      </c>
      <c r="I88" s="72">
        <v>2028</v>
      </c>
      <c r="J88" s="72">
        <v>2029</v>
      </c>
      <c r="K88" s="72">
        <v>2030</v>
      </c>
      <c r="L88" s="72">
        <v>2031</v>
      </c>
      <c r="M88" s="72">
        <v>2032</v>
      </c>
      <c r="N88" s="72">
        <v>2033</v>
      </c>
      <c r="O88" s="72">
        <v>2034</v>
      </c>
      <c r="P88" s="72">
        <v>2035</v>
      </c>
      <c r="Q88" s="72">
        <v>2036</v>
      </c>
      <c r="R88" s="73" t="s">
        <v>13</v>
      </c>
    </row>
    <row r="89" spans="1:33" ht="16.5" thickBot="1" x14ac:dyDescent="0.3">
      <c r="A89" s="26"/>
      <c r="B89" s="101"/>
      <c r="C89" s="102"/>
      <c r="D89" s="99">
        <f>'Market Analysis'!C40</f>
        <v>82.00500000000001</v>
      </c>
      <c r="E89" s="99">
        <f>'Market Analysis'!D40</f>
        <v>94.469760000000022</v>
      </c>
      <c r="F89" s="99">
        <f>'Market Analysis'!E40</f>
        <v>109.04633136835727</v>
      </c>
      <c r="G89" s="99">
        <f>'Market Analysis'!F40</f>
        <v>126.12651808027742</v>
      </c>
      <c r="H89" s="99">
        <f>'Market Analysis'!G40</f>
        <v>146.18079208469916</v>
      </c>
      <c r="I89" s="99">
        <f>'Market Analysis'!H40</f>
        <v>169.77524066869654</v>
      </c>
      <c r="J89" s="99">
        <f>'Market Analysis'!I40</f>
        <v>197.59240520976189</v>
      </c>
      <c r="K89" s="99">
        <f>'Market Analysis'!J40</f>
        <v>230.45695866505409</v>
      </c>
      <c r="L89" s="99">
        <f>'Market Analysis'!K40</f>
        <v>269.36741261248</v>
      </c>
      <c r="M89" s="99">
        <f>'Market Analysis'!L40</f>
        <v>315.53535393766799</v>
      </c>
      <c r="N89" s="99">
        <f>'Market Analysis'!M40</f>
        <v>370.43410500869669</v>
      </c>
      <c r="O89" s="99">
        <f>'Market Analysis'!N40</f>
        <v>435.85920358226497</v>
      </c>
      <c r="P89" s="99">
        <f>'Market Analysis'!O40</f>
        <v>514.0037411669291</v>
      </c>
      <c r="Q89" s="99">
        <f>'Market Analysis'!P40</f>
        <v>607.5524220593104</v>
      </c>
      <c r="R89" s="75">
        <f>RATE(12,,-E89,Q89)</f>
        <v>0.16777071167576588</v>
      </c>
      <c r="T89" s="72">
        <v>2023</v>
      </c>
      <c r="U89" s="72">
        <v>2024</v>
      </c>
      <c r="V89" s="72">
        <v>2025</v>
      </c>
      <c r="W89" s="72">
        <v>2026</v>
      </c>
      <c r="X89" s="72">
        <v>2027</v>
      </c>
      <c r="Y89" s="72">
        <v>2028</v>
      </c>
      <c r="Z89" s="72">
        <v>2029</v>
      </c>
      <c r="AA89" s="72">
        <v>2030</v>
      </c>
      <c r="AB89" s="72">
        <v>2031</v>
      </c>
      <c r="AC89" s="72">
        <v>2032</v>
      </c>
      <c r="AD89" s="72">
        <v>2033</v>
      </c>
      <c r="AE89" s="72">
        <v>2034</v>
      </c>
      <c r="AF89" s="72">
        <v>2035</v>
      </c>
      <c r="AG89" s="72">
        <v>2036</v>
      </c>
    </row>
    <row r="90" spans="1:33" x14ac:dyDescent="0.25">
      <c r="A90" s="110" t="s">
        <v>51</v>
      </c>
      <c r="B90" s="59" t="s">
        <v>34</v>
      </c>
      <c r="C90" s="52"/>
      <c r="D90" s="86">
        <f>D89*T90</f>
        <v>45.922800000000009</v>
      </c>
      <c r="E90" s="86">
        <f t="shared" ref="E90:Q90" si="55">E89*U90</f>
        <v>52.990130222882655</v>
      </c>
      <c r="F90" s="86">
        <f t="shared" si="55"/>
        <v>61.267108141540668</v>
      </c>
      <c r="G90" s="86">
        <f t="shared" si="55"/>
        <v>70.980144113714402</v>
      </c>
      <c r="H90" s="86">
        <f t="shared" si="55"/>
        <v>82.4014642022196</v>
      </c>
      <c r="I90" s="86">
        <f t="shared" si="55"/>
        <v>95.859049975928869</v>
      </c>
      <c r="J90" s="86">
        <f t="shared" si="55"/>
        <v>111.74887540342766</v>
      </c>
      <c r="K90" s="86">
        <f t="shared" si="55"/>
        <v>130.55000340135638</v>
      </c>
      <c r="L90" s="86">
        <f t="shared" si="55"/>
        <v>152.84324998060936</v>
      </c>
      <c r="M90" s="86">
        <f t="shared" si="55"/>
        <v>179.33430881905792</v>
      </c>
      <c r="N90" s="86">
        <f t="shared" si="55"/>
        <v>210.88246473214244</v>
      </c>
      <c r="O90" s="86">
        <f t="shared" si="55"/>
        <v>248.53632551674593</v>
      </c>
      <c r="P90" s="86">
        <f t="shared" si="55"/>
        <v>293.57838700597836</v>
      </c>
      <c r="Q90" s="86">
        <f t="shared" si="55"/>
        <v>347.58074066013091</v>
      </c>
      <c r="R90" s="84">
        <f>RATE(12,,-E90,Q90)</f>
        <v>0.16969255713920653</v>
      </c>
      <c r="S90" s="59" t="s">
        <v>34</v>
      </c>
      <c r="T90" s="12">
        <v>0.56000000000000005</v>
      </c>
      <c r="U90" s="12">
        <v>0.56092161367703952</v>
      </c>
      <c r="V90" s="12">
        <v>0.56184474408938223</v>
      </c>
      <c r="W90" s="12">
        <v>0.56276939373317769</v>
      </c>
      <c r="X90" s="12">
        <v>0.56369556510868446</v>
      </c>
      <c r="Y90" s="12">
        <v>0.56462326072027491</v>
      </c>
      <c r="Z90" s="12">
        <v>0.56555248307644368</v>
      </c>
      <c r="AA90" s="12">
        <v>0.56648323468981299</v>
      </c>
      <c r="AB90" s="12">
        <v>0.56741551807714108</v>
      </c>
      <c r="AC90" s="12">
        <v>0.56834933575932756</v>
      </c>
      <c r="AD90" s="12">
        <v>0.56928469026142059</v>
      </c>
      <c r="AE90" s="12">
        <v>0.57022158411262425</v>
      </c>
      <c r="AF90" s="12">
        <v>0.57116001984630527</v>
      </c>
      <c r="AG90" s="12">
        <v>0.57209999999999905</v>
      </c>
    </row>
    <row r="91" spans="1:33" ht="15.75" thickBot="1" x14ac:dyDescent="0.3">
      <c r="A91" s="111"/>
      <c r="B91" s="60" t="s">
        <v>35</v>
      </c>
      <c r="C91" s="53"/>
      <c r="D91" s="87">
        <f>D89*T91</f>
        <v>36.0822</v>
      </c>
      <c r="E91" s="87">
        <f t="shared" ref="E91:Q91" si="56">E89*U91</f>
        <v>41.479629777117367</v>
      </c>
      <c r="F91" s="87">
        <f t="shared" si="56"/>
        <v>47.779223226816605</v>
      </c>
      <c r="G91" s="87">
        <f t="shared" si="56"/>
        <v>55.146373966563019</v>
      </c>
      <c r="H91" s="87">
        <f t="shared" si="56"/>
        <v>63.779327882479564</v>
      </c>
      <c r="I91" s="87">
        <f t="shared" si="56"/>
        <v>73.916190692767671</v>
      </c>
      <c r="J91" s="87">
        <f t="shared" si="56"/>
        <v>85.843529806334232</v>
      </c>
      <c r="K91" s="87">
        <f t="shared" si="56"/>
        <v>99.906955263697725</v>
      </c>
      <c r="L91" s="87">
        <f t="shared" si="56"/>
        <v>116.52416263187064</v>
      </c>
      <c r="M91" s="87">
        <f t="shared" si="56"/>
        <v>136.20104511861007</v>
      </c>
      <c r="N91" s="87">
        <f t="shared" si="56"/>
        <v>159.55164027655425</v>
      </c>
      <c r="O91" s="87">
        <f t="shared" si="56"/>
        <v>187.32287806551903</v>
      </c>
      <c r="P91" s="87">
        <f t="shared" si="56"/>
        <v>220.42535416095072</v>
      </c>
      <c r="Q91" s="87">
        <f t="shared" si="56"/>
        <v>259.97168139917949</v>
      </c>
      <c r="R91" s="85">
        <f>RATE(12,,-E91,Q91)</f>
        <v>0.1652638252054702</v>
      </c>
      <c r="S91" s="60" t="s">
        <v>35</v>
      </c>
      <c r="T91" s="12">
        <f>1-T90</f>
        <v>0.43999999999999995</v>
      </c>
      <c r="U91" s="12">
        <f t="shared" ref="U91:AG91" si="57">1-U90</f>
        <v>0.43907838632296048</v>
      </c>
      <c r="V91" s="12">
        <f t="shared" si="57"/>
        <v>0.43815525591061777</v>
      </c>
      <c r="W91" s="12">
        <f t="shared" si="57"/>
        <v>0.43723060626682231</v>
      </c>
      <c r="X91" s="12">
        <f t="shared" si="57"/>
        <v>0.43630443489131554</v>
      </c>
      <c r="Y91" s="12">
        <f t="shared" si="57"/>
        <v>0.43537673927972509</v>
      </c>
      <c r="Z91" s="12">
        <f t="shared" si="57"/>
        <v>0.43444751692355632</v>
      </c>
      <c r="AA91" s="12">
        <f t="shared" si="57"/>
        <v>0.43351676531018701</v>
      </c>
      <c r="AB91" s="12">
        <f t="shared" si="57"/>
        <v>0.43258448192285892</v>
      </c>
      <c r="AC91" s="12">
        <f t="shared" si="57"/>
        <v>0.43165066424067244</v>
      </c>
      <c r="AD91" s="12">
        <f t="shared" si="57"/>
        <v>0.43071530973857941</v>
      </c>
      <c r="AE91" s="12">
        <f t="shared" si="57"/>
        <v>0.42977841588737575</v>
      </c>
      <c r="AF91" s="12">
        <f t="shared" si="57"/>
        <v>0.42883998015369473</v>
      </c>
      <c r="AG91" s="12">
        <f t="shared" si="57"/>
        <v>0.42790000000000095</v>
      </c>
    </row>
    <row r="92" spans="1:33" ht="15.75" thickBot="1" x14ac:dyDescent="0.3">
      <c r="A92" s="1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21"/>
    </row>
    <row r="93" spans="1:33" x14ac:dyDescent="0.25">
      <c r="A93" s="110" t="s">
        <v>15</v>
      </c>
      <c r="B93" s="64" t="s">
        <v>16</v>
      </c>
      <c r="C93" s="54"/>
      <c r="D93" s="89">
        <f>D89*T93</f>
        <v>38.624355000000001</v>
      </c>
      <c r="E93" s="89">
        <f t="shared" ref="E93:Q93" si="58">E89*U93</f>
        <v>44.437121723076928</v>
      </c>
      <c r="F93" s="89">
        <f t="shared" si="58"/>
        <v>51.226611205119831</v>
      </c>
      <c r="G93" s="89">
        <f t="shared" si="58"/>
        <v>59.172741059354763</v>
      </c>
      <c r="H93" s="89">
        <f t="shared" si="58"/>
        <v>68.491323429838658</v>
      </c>
      <c r="I93" s="89">
        <f t="shared" si="58"/>
        <v>79.441752999052383</v>
      </c>
      <c r="J93" s="89">
        <f t="shared" si="58"/>
        <v>92.33645089610026</v>
      </c>
      <c r="K93" s="89">
        <f t="shared" si="58"/>
        <v>107.55248986314484</v>
      </c>
      <c r="L93" s="89">
        <f t="shared" si="58"/>
        <v>125.54593484761664</v>
      </c>
      <c r="M93" s="89">
        <f t="shared" si="58"/>
        <v>146.86957128283299</v>
      </c>
      <c r="N93" s="89">
        <f t="shared" si="58"/>
        <v>172.1948689667349</v>
      </c>
      <c r="O93" s="89">
        <f t="shared" si="58"/>
        <v>202.33925335530532</v>
      </c>
      <c r="P93" s="89">
        <f t="shared" si="58"/>
        <v>238.30004215485243</v>
      </c>
      <c r="Q93" s="89">
        <f t="shared" si="58"/>
        <v>281.2967714134607</v>
      </c>
      <c r="R93" s="76">
        <f>RATE(12,,-E93,Q93)</f>
        <v>0.16623186154540087</v>
      </c>
      <c r="S93" s="64" t="s">
        <v>16</v>
      </c>
      <c r="T93" s="12">
        <v>0.47099999999999992</v>
      </c>
      <c r="U93" s="12">
        <v>0.47038461538461535</v>
      </c>
      <c r="V93" s="12">
        <v>0.46976923076923072</v>
      </c>
      <c r="W93" s="12">
        <v>0.46915384615384609</v>
      </c>
      <c r="X93" s="12">
        <v>0.46853846153846151</v>
      </c>
      <c r="Y93" s="12">
        <v>0.46792307692307689</v>
      </c>
      <c r="Z93" s="12">
        <v>0.46730769230769226</v>
      </c>
      <c r="AA93" s="12">
        <v>0.46669230769230763</v>
      </c>
      <c r="AB93" s="12">
        <v>0.46607692307692306</v>
      </c>
      <c r="AC93" s="12">
        <v>0.46546153846153843</v>
      </c>
      <c r="AD93" s="12">
        <v>0.4648461538461538</v>
      </c>
      <c r="AE93" s="12">
        <v>0.46423076923076922</v>
      </c>
      <c r="AF93" s="12">
        <v>0.4636153846153846</v>
      </c>
      <c r="AG93" s="12">
        <v>0.46299999999999997</v>
      </c>
    </row>
    <row r="94" spans="1:33" ht="15.75" thickBot="1" x14ac:dyDescent="0.3">
      <c r="A94" s="111"/>
      <c r="B94" s="65" t="s">
        <v>17</v>
      </c>
      <c r="C94" s="55"/>
      <c r="D94" s="90">
        <f>D89*T94</f>
        <v>43.380645000000015</v>
      </c>
      <c r="E94" s="90">
        <f t="shared" ref="E94:Q94" si="59">E89*U94</f>
        <v>50.032638276923088</v>
      </c>
      <c r="F94" s="90">
        <f t="shared" si="59"/>
        <v>57.819720163237442</v>
      </c>
      <c r="G94" s="90">
        <f t="shared" si="59"/>
        <v>66.953777020922672</v>
      </c>
      <c r="H94" s="90">
        <f t="shared" si="59"/>
        <v>77.689468654860491</v>
      </c>
      <c r="I94" s="90">
        <f t="shared" si="59"/>
        <v>90.333487669644157</v>
      </c>
      <c r="J94" s="90">
        <f t="shared" si="59"/>
        <v>105.25595431366165</v>
      </c>
      <c r="K94" s="90">
        <f t="shared" si="59"/>
        <v>122.90446880190925</v>
      </c>
      <c r="L94" s="90">
        <f t="shared" si="59"/>
        <v>143.82147776486337</v>
      </c>
      <c r="M94" s="90">
        <f t="shared" si="59"/>
        <v>168.66578265483503</v>
      </c>
      <c r="N94" s="90">
        <f t="shared" si="59"/>
        <v>198.23923604196179</v>
      </c>
      <c r="O94" s="90">
        <f t="shared" si="59"/>
        <v>233.51995022695965</v>
      </c>
      <c r="P94" s="90">
        <f t="shared" si="59"/>
        <v>275.7036990120767</v>
      </c>
      <c r="Q94" s="90">
        <f t="shared" si="59"/>
        <v>326.2556506458497</v>
      </c>
      <c r="R94" s="77">
        <f>RATE(12,,-E94,Q94)</f>
        <v>0.16911900349486417</v>
      </c>
      <c r="S94" s="65" t="s">
        <v>17</v>
      </c>
      <c r="T94" s="12">
        <f>1-T93</f>
        <v>0.52900000000000014</v>
      </c>
      <c r="U94" s="12">
        <f t="shared" ref="U94:AG94" si="60">1-U93</f>
        <v>0.5296153846153846</v>
      </c>
      <c r="V94" s="12">
        <f t="shared" si="60"/>
        <v>0.53023076923076928</v>
      </c>
      <c r="W94" s="12">
        <f t="shared" si="60"/>
        <v>0.53084615384615397</v>
      </c>
      <c r="X94" s="12">
        <f t="shared" si="60"/>
        <v>0.53146153846153843</v>
      </c>
      <c r="Y94" s="12">
        <f t="shared" si="60"/>
        <v>0.53207692307692311</v>
      </c>
      <c r="Z94" s="12">
        <f t="shared" si="60"/>
        <v>0.5326923076923078</v>
      </c>
      <c r="AA94" s="12">
        <f t="shared" si="60"/>
        <v>0.53330769230769237</v>
      </c>
      <c r="AB94" s="12">
        <f t="shared" si="60"/>
        <v>0.53392307692307694</v>
      </c>
      <c r="AC94" s="12">
        <f t="shared" si="60"/>
        <v>0.53453846153846163</v>
      </c>
      <c r="AD94" s="12">
        <f t="shared" si="60"/>
        <v>0.5351538461538462</v>
      </c>
      <c r="AE94" s="12">
        <f t="shared" si="60"/>
        <v>0.53576923076923078</v>
      </c>
      <c r="AF94" s="12">
        <f t="shared" si="60"/>
        <v>0.53638461538461546</v>
      </c>
      <c r="AG94" s="12">
        <f t="shared" si="60"/>
        <v>0.53700000000000003</v>
      </c>
    </row>
    <row r="95" spans="1:33" ht="15.75" thickBot="1" x14ac:dyDescent="0.3">
      <c r="A95" s="1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21"/>
    </row>
    <row r="96" spans="1:33" x14ac:dyDescent="0.25">
      <c r="A96" s="110" t="s">
        <v>18</v>
      </c>
      <c r="B96" s="61" t="s">
        <v>19</v>
      </c>
      <c r="C96" s="56"/>
      <c r="D96" s="91">
        <f>D89*T96</f>
        <v>32.884005000000002</v>
      </c>
      <c r="E96" s="91">
        <f t="shared" ref="E96:Q96" si="61">E89*U96</f>
        <v>38.038334390421142</v>
      </c>
      <c r="F96" s="91">
        <f t="shared" si="61"/>
        <v>44.088370376704276</v>
      </c>
      <c r="G96" s="91">
        <f t="shared" si="61"/>
        <v>51.203977846136709</v>
      </c>
      <c r="H96" s="91">
        <f t="shared" si="61"/>
        <v>59.589797907933033</v>
      </c>
      <c r="I96" s="91">
        <f t="shared" si="61"/>
        <v>69.49287252541825</v>
      </c>
      <c r="J96" s="91">
        <f t="shared" si="61"/>
        <v>81.212048273551261</v>
      </c>
      <c r="K96" s="91">
        <f t="shared" si="61"/>
        <v>95.109598834404878</v>
      </c>
      <c r="L96" s="91">
        <f t="shared" si="61"/>
        <v>111.62562039896635</v>
      </c>
      <c r="M96" s="91">
        <f t="shared" si="61"/>
        <v>131.29590007118969</v>
      </c>
      <c r="N96" s="91">
        <f t="shared" si="61"/>
        <v>154.7741436718743</v>
      </c>
      <c r="O96" s="91">
        <f t="shared" si="61"/>
        <v>182.85968771776655</v>
      </c>
      <c r="P96" s="91">
        <f t="shared" si="61"/>
        <v>216.5321260515795</v>
      </c>
      <c r="Q96" s="91">
        <f t="shared" si="61"/>
        <v>256.99467453108792</v>
      </c>
      <c r="R96" s="78">
        <f>RATE(12,,-E96,Q96)</f>
        <v>0.17257838971448161</v>
      </c>
      <c r="S96" s="61" t="s">
        <v>19</v>
      </c>
      <c r="T96" s="12">
        <v>0.40099999999999997</v>
      </c>
      <c r="U96" s="12">
        <v>0.40265090533119946</v>
      </c>
      <c r="V96" s="12">
        <v>0.40430860739160734</v>
      </c>
      <c r="W96" s="12">
        <v>0.40597313416316017</v>
      </c>
      <c r="X96" s="12">
        <v>0.40764451374299493</v>
      </c>
      <c r="Y96" s="12">
        <v>0.40932277434392395</v>
      </c>
      <c r="Z96" s="12">
        <v>0.41100794429491083</v>
      </c>
      <c r="AA96" s="12">
        <v>0.4127000520415488</v>
      </c>
      <c r="AB96" s="12">
        <v>0.41439912614654062</v>
      </c>
      <c r="AC96" s="12">
        <v>0.41610519529018092</v>
      </c>
      <c r="AD96" s="12">
        <v>0.41781828827084017</v>
      </c>
      <c r="AE96" s="12">
        <v>0.4195384340054511</v>
      </c>
      <c r="AF96" s="12">
        <v>0.4212656615299965</v>
      </c>
      <c r="AG96" s="12">
        <v>0.42299999999999938</v>
      </c>
    </row>
    <row r="97" spans="1:33" ht="15.75" thickBot="1" x14ac:dyDescent="0.3">
      <c r="A97" s="111"/>
      <c r="B97" s="63" t="s">
        <v>20</v>
      </c>
      <c r="C97" s="51"/>
      <c r="D97" s="92">
        <f>D89*T97</f>
        <v>49.120995000000001</v>
      </c>
      <c r="E97" s="92">
        <f t="shared" ref="E97:Q97" si="62">E89*U97</f>
        <v>56.431425609578874</v>
      </c>
      <c r="F97" s="92">
        <f t="shared" si="62"/>
        <v>64.957960991652996</v>
      </c>
      <c r="G97" s="92">
        <f t="shared" si="62"/>
        <v>74.922540234140712</v>
      </c>
      <c r="H97" s="92">
        <f t="shared" si="62"/>
        <v>86.590994176766131</v>
      </c>
      <c r="I97" s="92">
        <f t="shared" si="62"/>
        <v>100.28236814327829</v>
      </c>
      <c r="J97" s="92">
        <f t="shared" si="62"/>
        <v>116.38035693621063</v>
      </c>
      <c r="K97" s="92">
        <f t="shared" si="62"/>
        <v>135.3473598306492</v>
      </c>
      <c r="L97" s="92">
        <f t="shared" si="62"/>
        <v>157.74179221351363</v>
      </c>
      <c r="M97" s="92">
        <f t="shared" si="62"/>
        <v>184.2394538664783</v>
      </c>
      <c r="N97" s="92">
        <f t="shared" si="62"/>
        <v>215.65996133682239</v>
      </c>
      <c r="O97" s="92">
        <f t="shared" si="62"/>
        <v>252.99951586449842</v>
      </c>
      <c r="P97" s="92">
        <f t="shared" si="62"/>
        <v>297.47161511534961</v>
      </c>
      <c r="Q97" s="92">
        <f t="shared" si="62"/>
        <v>350.55774752822248</v>
      </c>
      <c r="R97" s="79">
        <f>RATE(12,,-E97,Q97)</f>
        <v>0.16440272283729601</v>
      </c>
      <c r="S97" s="63" t="s">
        <v>20</v>
      </c>
      <c r="T97" s="12">
        <f>1-T96</f>
        <v>0.59899999999999998</v>
      </c>
      <c r="U97" s="12">
        <f t="shared" ref="U97:AG97" si="63">1-U96</f>
        <v>0.59734909466880048</v>
      </c>
      <c r="V97" s="12">
        <f t="shared" si="63"/>
        <v>0.59569139260839266</v>
      </c>
      <c r="W97" s="12">
        <f t="shared" si="63"/>
        <v>0.59402686583683983</v>
      </c>
      <c r="X97" s="12">
        <f t="shared" si="63"/>
        <v>0.59235548625700507</v>
      </c>
      <c r="Y97" s="12">
        <f t="shared" si="63"/>
        <v>0.59067722565607605</v>
      </c>
      <c r="Z97" s="12">
        <f t="shared" si="63"/>
        <v>0.58899205570508917</v>
      </c>
      <c r="AA97" s="12">
        <f t="shared" si="63"/>
        <v>0.5872999479584512</v>
      </c>
      <c r="AB97" s="12">
        <f t="shared" si="63"/>
        <v>0.58560087385345938</v>
      </c>
      <c r="AC97" s="12">
        <f t="shared" si="63"/>
        <v>0.58389480470981914</v>
      </c>
      <c r="AD97" s="12">
        <f t="shared" si="63"/>
        <v>0.58218171172915989</v>
      </c>
      <c r="AE97" s="12">
        <f t="shared" si="63"/>
        <v>0.5804615659945489</v>
      </c>
      <c r="AF97" s="12">
        <f t="shared" si="63"/>
        <v>0.57873433847000344</v>
      </c>
      <c r="AG97" s="12">
        <f t="shared" si="63"/>
        <v>0.57700000000000062</v>
      </c>
    </row>
    <row r="98" spans="1:33" ht="15.75" thickBot="1" x14ac:dyDescent="0.3">
      <c r="A98" s="2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21"/>
    </row>
    <row r="99" spans="1:33" x14ac:dyDescent="0.25">
      <c r="A99" s="110" t="s">
        <v>14</v>
      </c>
      <c r="B99" s="66" t="s">
        <v>21</v>
      </c>
      <c r="C99" s="57"/>
      <c r="D99" s="93">
        <f>D89*T99</f>
        <v>20.501250000000002</v>
      </c>
      <c r="E99" s="93">
        <f t="shared" ref="E99:Q99" si="64">E89*U99</f>
        <v>23.764428843159177</v>
      </c>
      <c r="F99" s="93">
        <f t="shared" si="64"/>
        <v>27.601976911309031</v>
      </c>
      <c r="G99" s="93">
        <f t="shared" si="64"/>
        <v>32.124035391204053</v>
      </c>
      <c r="H99" s="93">
        <f t="shared" si="64"/>
        <v>37.463518250027903</v>
      </c>
      <c r="I99" s="93">
        <f t="shared" si="64"/>
        <v>43.781149929636285</v>
      </c>
      <c r="J99" s="93">
        <f t="shared" si="64"/>
        <v>51.271688192824527</v>
      </c>
      <c r="K99" s="93">
        <f t="shared" si="64"/>
        <v>60.171627192854807</v>
      </c>
      <c r="L99" s="93">
        <f t="shared" si="64"/>
        <v>70.768753273163966</v>
      </c>
      <c r="M99" s="93">
        <f t="shared" si="64"/>
        <v>83.414024787169197</v>
      </c>
      <c r="N99" s="93">
        <f t="shared" si="64"/>
        <v>98.536373522527043</v>
      </c>
      <c r="O99" s="93">
        <f t="shared" si="64"/>
        <v>116.66118714387333</v>
      </c>
      <c r="P99" s="93">
        <f t="shared" si="64"/>
        <v>138.43343990132823</v>
      </c>
      <c r="Q99" s="93">
        <f t="shared" si="64"/>
        <v>164.64670637807319</v>
      </c>
      <c r="R99" s="80">
        <f t="shared" ref="R99:R104" si="65">RATE(12,,-E99,Q99)</f>
        <v>0.17503861480093705</v>
      </c>
      <c r="S99" s="66" t="s">
        <v>21</v>
      </c>
      <c r="T99" s="12">
        <v>0.25</v>
      </c>
      <c r="U99" s="12">
        <v>0.25155593539307364</v>
      </c>
      <c r="V99" s="12">
        <v>0.25312155452593693</v>
      </c>
      <c r="W99" s="12">
        <v>0.25469691766768382</v>
      </c>
      <c r="X99" s="12">
        <v>0.25628208546250747</v>
      </c>
      <c r="Y99" s="12">
        <v>0.2578771189320348</v>
      </c>
      <c r="Z99" s="12">
        <v>0.25948207947767565</v>
      </c>
      <c r="AA99" s="12">
        <v>0.2610970288829863</v>
      </c>
      <c r="AB99" s="12">
        <v>0.26272202931604799</v>
      </c>
      <c r="AC99" s="12">
        <v>0.26435714333185978</v>
      </c>
      <c r="AD99" s="12">
        <v>0.26600243387474731</v>
      </c>
      <c r="AE99" s="12">
        <v>0.26765796428078514</v>
      </c>
      <c r="AF99" s="12">
        <v>0.26932379828023517</v>
      </c>
      <c r="AG99" s="12">
        <v>0.27100000000000013</v>
      </c>
    </row>
    <row r="100" spans="1:33" x14ac:dyDescent="0.25">
      <c r="A100" s="112"/>
      <c r="B100" s="67" t="s">
        <v>22</v>
      </c>
      <c r="C100" s="48"/>
      <c r="D100" s="94">
        <f>D89*T100</f>
        <v>31.161900000000003</v>
      </c>
      <c r="E100" s="94">
        <f t="shared" ref="E100:Q100" si="66">E89*U100</f>
        <v>35.984465831399909</v>
      </c>
      <c r="F100" s="94">
        <f t="shared" si="66"/>
        <v>41.636283694902055</v>
      </c>
      <c r="G100" s="94">
        <f t="shared" si="66"/>
        <v>48.273185434916599</v>
      </c>
      <c r="H100" s="94">
        <f t="shared" si="66"/>
        <v>56.08264833341034</v>
      </c>
      <c r="I100" s="94">
        <f t="shared" si="66"/>
        <v>65.290682624678396</v>
      </c>
      <c r="J100" s="94">
        <f t="shared" si="66"/>
        <v>76.170315381020231</v>
      </c>
      <c r="K100" s="94">
        <f t="shared" si="66"/>
        <v>89.052062782098503</v>
      </c>
      <c r="L100" s="94">
        <f t="shared" si="66"/>
        <v>104.33688434307383</v>
      </c>
      <c r="M100" s="94">
        <f t="shared" si="66"/>
        <v>122.51224190172293</v>
      </c>
      <c r="N100" s="94">
        <f t="shared" si="66"/>
        <v>144.17205095002848</v>
      </c>
      <c r="O100" s="94">
        <f t="shared" si="66"/>
        <v>170.04152249554215</v>
      </c>
      <c r="P100" s="94">
        <f t="shared" si="66"/>
        <v>201.00816339726862</v>
      </c>
      <c r="Q100" s="94">
        <f t="shared" si="66"/>
        <v>238.16054944724968</v>
      </c>
      <c r="R100" s="81">
        <f t="shared" si="65"/>
        <v>0.17056687527940337</v>
      </c>
      <c r="S100" s="67" t="s">
        <v>22</v>
      </c>
      <c r="T100" s="12">
        <v>0.38</v>
      </c>
      <c r="U100" s="12">
        <v>0.38090988938047371</v>
      </c>
      <c r="V100" s="12">
        <v>0.38182195744169661</v>
      </c>
      <c r="W100" s="12">
        <v>0.38273620940040159</v>
      </c>
      <c r="X100" s="12">
        <v>0.38365265048581265</v>
      </c>
      <c r="Y100" s="12">
        <v>0.38457128593967477</v>
      </c>
      <c r="Z100" s="12">
        <v>0.38549212101628438</v>
      </c>
      <c r="AA100" s="12">
        <v>0.38641516098251855</v>
      </c>
      <c r="AB100" s="12">
        <v>0.38734041111786593</v>
      </c>
      <c r="AC100" s="12">
        <v>0.38826787671445667</v>
      </c>
      <c r="AD100" s="12">
        <v>0.38919756307709236</v>
      </c>
      <c r="AE100" s="12">
        <v>0.39012947552327681</v>
      </c>
      <c r="AF100" s="12">
        <v>0.3910636193832463</v>
      </c>
      <c r="AG100" s="12">
        <v>0.39200000000000002</v>
      </c>
    </row>
    <row r="101" spans="1:33" x14ac:dyDescent="0.25">
      <c r="A101" s="112"/>
      <c r="B101" s="68" t="s">
        <v>23</v>
      </c>
      <c r="C101" s="48"/>
      <c r="D101" s="95">
        <f>D100*T101</f>
        <v>10.906664999999997</v>
      </c>
      <c r="E101" s="95">
        <f t="shared" ref="E101:Q101" si="67">E100*U101</f>
        <v>12.572464400153409</v>
      </c>
      <c r="F101" s="95">
        <f t="shared" si="67"/>
        <v>14.521605131249654</v>
      </c>
      <c r="G101" s="95">
        <f t="shared" si="67"/>
        <v>16.806834834434337</v>
      </c>
      <c r="H101" s="95">
        <f t="shared" si="67"/>
        <v>19.491524044714946</v>
      </c>
      <c r="I101" s="95">
        <f t="shared" si="67"/>
        <v>22.651960911651692</v>
      </c>
      <c r="J101" s="95">
        <f t="shared" si="67"/>
        <v>26.380174139014485</v>
      </c>
      <c r="K101" s="95">
        <f t="shared" si="67"/>
        <v>30.78741303339293</v>
      </c>
      <c r="L101" s="95">
        <f t="shared" si="67"/>
        <v>36.008446747184735</v>
      </c>
      <c r="M101" s="95">
        <f t="shared" si="67"/>
        <v>42.20688698824673</v>
      </c>
      <c r="N101" s="95">
        <f t="shared" si="67"/>
        <v>49.581792200282585</v>
      </c>
      <c r="O101" s="95">
        <f t="shared" si="67"/>
        <v>58.375879806604601</v>
      </c>
      <c r="P101" s="95">
        <f t="shared" si="67"/>
        <v>68.885760860368208</v>
      </c>
      <c r="Q101" s="95">
        <f t="shared" si="67"/>
        <v>81.474723965904062</v>
      </c>
      <c r="R101" s="81">
        <f t="shared" si="65"/>
        <v>0.16851297814396599</v>
      </c>
      <c r="S101" s="68" t="s">
        <v>23</v>
      </c>
      <c r="T101" s="74">
        <v>0.34999999999999987</v>
      </c>
      <c r="U101" s="74">
        <v>0.34938588387166564</v>
      </c>
      <c r="V101" s="74">
        <v>0.34877284528224306</v>
      </c>
      <c r="W101" s="74">
        <v>0.34816088234106346</v>
      </c>
      <c r="X101" s="74">
        <v>0.34754999316077562</v>
      </c>
      <c r="Y101" s="74">
        <v>0.34694017585733994</v>
      </c>
      <c r="Z101" s="74">
        <v>0.34633142855002247</v>
      </c>
      <c r="AA101" s="74">
        <v>0.34572374936138933</v>
      </c>
      <c r="AB101" s="74">
        <v>0.34511713641730069</v>
      </c>
      <c r="AC101" s="74">
        <v>0.34451158784690528</v>
      </c>
      <c r="AD101" s="74">
        <v>0.34390710178263434</v>
      </c>
      <c r="AE101" s="74">
        <v>0.34330367636019604</v>
      </c>
      <c r="AF101" s="74">
        <v>0.34270130971856966</v>
      </c>
      <c r="AG101" s="74">
        <v>0.34209999999999979</v>
      </c>
    </row>
    <row r="102" spans="1:33" x14ac:dyDescent="0.25">
      <c r="A102" s="112"/>
      <c r="B102" s="68" t="s">
        <v>24</v>
      </c>
      <c r="C102" s="48"/>
      <c r="D102" s="95">
        <f>D100*T102</f>
        <v>8.7253320000000016</v>
      </c>
      <c r="E102" s="95">
        <f t="shared" ref="E102:Q102" si="68">E100*U102</f>
        <v>10.11088600089235</v>
      </c>
      <c r="F102" s="95">
        <f t="shared" si="68"/>
        <v>11.739841534659394</v>
      </c>
      <c r="G102" s="95">
        <f t="shared" si="68"/>
        <v>13.658794024286284</v>
      </c>
      <c r="H102" s="95">
        <f t="shared" si="68"/>
        <v>15.923958385300974</v>
      </c>
      <c r="I102" s="95">
        <f t="shared" si="68"/>
        <v>18.603294093725733</v>
      </c>
      <c r="J102" s="95">
        <f t="shared" si="68"/>
        <v>21.77912956327318</v>
      </c>
      <c r="K102" s="95">
        <f t="shared" si="68"/>
        <v>25.551410002033936</v>
      </c>
      <c r="L102" s="95">
        <f t="shared" si="68"/>
        <v>30.041725469644252</v>
      </c>
      <c r="M102" s="95">
        <f t="shared" si="68"/>
        <v>35.398317371054603</v>
      </c>
      <c r="N102" s="95">
        <f t="shared" si="68"/>
        <v>41.802314688566319</v>
      </c>
      <c r="O102" s="95">
        <f t="shared" si="68"/>
        <v>49.475519235255533</v>
      </c>
      <c r="P102" s="95">
        <f t="shared" si="68"/>
        <v>58.690146500163401</v>
      </c>
      <c r="Q102" s="95">
        <f t="shared" si="68"/>
        <v>69.781040988044069</v>
      </c>
      <c r="R102" s="81">
        <f t="shared" si="65"/>
        <v>0.17466046597363438</v>
      </c>
      <c r="S102" s="68" t="s">
        <v>24</v>
      </c>
      <c r="T102" s="74">
        <v>0.28000000000000003</v>
      </c>
      <c r="U102" s="74">
        <v>0.28097918830490543</v>
      </c>
      <c r="V102" s="74">
        <v>0.28196180093029821</v>
      </c>
      <c r="W102" s="74">
        <v>0.28294784985137333</v>
      </c>
      <c r="X102" s="74">
        <v>0.28393734708520407</v>
      </c>
      <c r="Y102" s="74">
        <v>0.28493030469088876</v>
      </c>
      <c r="Z102" s="74">
        <v>0.28592673476969749</v>
      </c>
      <c r="AA102" s="74">
        <v>0.28692664946521995</v>
      </c>
      <c r="AB102" s="74">
        <v>0.28793006096351298</v>
      </c>
      <c r="AC102" s="74">
        <v>0.28893698149324931</v>
      </c>
      <c r="AD102" s="74">
        <v>0.28994742332586665</v>
      </c>
      <c r="AE102" s="74">
        <v>0.29096139877571725</v>
      </c>
      <c r="AF102" s="74">
        <v>0.29197892020021765</v>
      </c>
      <c r="AG102" s="74">
        <v>0.29299999999999965</v>
      </c>
    </row>
    <row r="103" spans="1:33" x14ac:dyDescent="0.25">
      <c r="A103" s="112"/>
      <c r="B103" s="68" t="s">
        <v>25</v>
      </c>
      <c r="C103" s="48"/>
      <c r="D103" s="95">
        <f>D100*T103</f>
        <v>11.529903000000004</v>
      </c>
      <c r="E103" s="95">
        <f t="shared" ref="E103:Q103" si="69">E100*U103</f>
        <v>13.301115430354152</v>
      </c>
      <c r="F103" s="95">
        <f t="shared" si="69"/>
        <v>15.374837028993007</v>
      </c>
      <c r="G103" s="95">
        <f t="shared" si="69"/>
        <v>17.807556576195978</v>
      </c>
      <c r="H103" s="95">
        <f t="shared" si="69"/>
        <v>20.667165903394416</v>
      </c>
      <c r="I103" s="95">
        <f t="shared" si="69"/>
        <v>24.035427619300972</v>
      </c>
      <c r="J103" s="95">
        <f t="shared" si="69"/>
        <v>28.011011678732565</v>
      </c>
      <c r="K103" s="95">
        <f t="shared" si="69"/>
        <v>32.71323974667164</v>
      </c>
      <c r="L103" s="95">
        <f t="shared" si="69"/>
        <v>38.286712126244851</v>
      </c>
      <c r="M103" s="95">
        <f t="shared" si="69"/>
        <v>44.907037542421598</v>
      </c>
      <c r="N103" s="95">
        <f t="shared" si="69"/>
        <v>52.787944061179559</v>
      </c>
      <c r="O103" s="95">
        <f t="shared" si="69"/>
        <v>62.190123453682013</v>
      </c>
      <c r="P103" s="95">
        <f t="shared" si="69"/>
        <v>73.432256036737016</v>
      </c>
      <c r="Q103" s="95">
        <f t="shared" si="69"/>
        <v>86.904784493301534</v>
      </c>
      <c r="R103" s="81">
        <f t="shared" si="65"/>
        <v>0.16930992346163087</v>
      </c>
      <c r="S103" s="68" t="s">
        <v>25</v>
      </c>
      <c r="T103" s="74">
        <f>1-SUM(T101:T102)</f>
        <v>0.37000000000000011</v>
      </c>
      <c r="U103" s="74">
        <f t="shared" ref="U103:AG103" si="70">1-SUM(U101:U102)</f>
        <v>0.36963492782342899</v>
      </c>
      <c r="V103" s="74">
        <f t="shared" si="70"/>
        <v>0.36926535378745873</v>
      </c>
      <c r="W103" s="74">
        <f t="shared" si="70"/>
        <v>0.36889126780756321</v>
      </c>
      <c r="X103" s="74">
        <f t="shared" si="70"/>
        <v>0.36851265975402026</v>
      </c>
      <c r="Y103" s="74">
        <f t="shared" si="70"/>
        <v>0.3681295194517713</v>
      </c>
      <c r="Z103" s="74">
        <f t="shared" si="70"/>
        <v>0.36774183668028004</v>
      </c>
      <c r="AA103" s="74">
        <f t="shared" si="70"/>
        <v>0.36734960117339077</v>
      </c>
      <c r="AB103" s="74">
        <f t="shared" si="70"/>
        <v>0.36695280261918639</v>
      </c>
      <c r="AC103" s="74">
        <f t="shared" si="70"/>
        <v>0.36655143065984541</v>
      </c>
      <c r="AD103" s="74">
        <f t="shared" si="70"/>
        <v>0.36614547489149896</v>
      </c>
      <c r="AE103" s="74">
        <f t="shared" si="70"/>
        <v>0.36573492486408665</v>
      </c>
      <c r="AF103" s="74">
        <f t="shared" si="70"/>
        <v>0.36531977008121275</v>
      </c>
      <c r="AG103" s="74">
        <f t="shared" si="70"/>
        <v>0.36490000000000056</v>
      </c>
    </row>
    <row r="104" spans="1:33" ht="15.75" thickBot="1" x14ac:dyDescent="0.3">
      <c r="A104" s="111"/>
      <c r="B104" s="69" t="s">
        <v>26</v>
      </c>
      <c r="C104" s="58"/>
      <c r="D104" s="96">
        <f>D89*T104</f>
        <v>30.341850000000004</v>
      </c>
      <c r="E104" s="96">
        <f t="shared" ref="E104:Q104" si="71">E89*U104</f>
        <v>34.72086532544094</v>
      </c>
      <c r="F104" s="96">
        <f t="shared" si="71"/>
        <v>39.80807076214618</v>
      </c>
      <c r="G104" s="96">
        <f t="shared" si="71"/>
        <v>45.729297254156769</v>
      </c>
      <c r="H104" s="96">
        <f t="shared" si="71"/>
        <v>52.634625501260928</v>
      </c>
      <c r="I104" s="96">
        <f t="shared" si="71"/>
        <v>60.703408114381844</v>
      </c>
      <c r="J104" s="96">
        <f t="shared" si="71"/>
        <v>70.150401635917135</v>
      </c>
      <c r="K104" s="96">
        <f t="shared" si="71"/>
        <v>81.233268690100786</v>
      </c>
      <c r="L104" s="96">
        <f t="shared" si="71"/>
        <v>94.26177499624221</v>
      </c>
      <c r="M104" s="96">
        <f t="shared" si="71"/>
        <v>109.60908724877588</v>
      </c>
      <c r="N104" s="96">
        <f t="shared" si="71"/>
        <v>127.72568053614118</v>
      </c>
      <c r="O104" s="96">
        <f t="shared" si="71"/>
        <v>149.15649394284947</v>
      </c>
      <c r="P104" s="96">
        <f t="shared" si="71"/>
        <v>174.56213786833229</v>
      </c>
      <c r="Q104" s="96">
        <f t="shared" si="71"/>
        <v>204.7451662339875</v>
      </c>
      <c r="R104" s="82">
        <f t="shared" si="65"/>
        <v>0.15936074944033077</v>
      </c>
      <c r="S104" s="69" t="s">
        <v>26</v>
      </c>
      <c r="T104" s="12">
        <f>1-SUM(T99+T100)</f>
        <v>0.37</v>
      </c>
      <c r="U104" s="12">
        <f t="shared" ref="U104:AG104" si="72">1-SUM(U99+U100)</f>
        <v>0.36753417522645271</v>
      </c>
      <c r="V104" s="12">
        <f t="shared" si="72"/>
        <v>0.36505648803236646</v>
      </c>
      <c r="W104" s="12">
        <f t="shared" si="72"/>
        <v>0.36256687293191459</v>
      </c>
      <c r="X104" s="12">
        <f t="shared" si="72"/>
        <v>0.36006526405167993</v>
      </c>
      <c r="Y104" s="12">
        <f t="shared" si="72"/>
        <v>0.35755159512829038</v>
      </c>
      <c r="Z104" s="12">
        <f t="shared" si="72"/>
        <v>0.35502579950603996</v>
      </c>
      <c r="AA104" s="12">
        <f t="shared" si="72"/>
        <v>0.35248781013449515</v>
      </c>
      <c r="AB104" s="12">
        <f t="shared" si="72"/>
        <v>0.34993755956608608</v>
      </c>
      <c r="AC104" s="12">
        <f t="shared" si="72"/>
        <v>0.3473749799536836</v>
      </c>
      <c r="AD104" s="12">
        <f t="shared" si="72"/>
        <v>0.34480000304816039</v>
      </c>
      <c r="AE104" s="12">
        <f t="shared" si="72"/>
        <v>0.34221256019593804</v>
      </c>
      <c r="AF104" s="12">
        <f t="shared" si="72"/>
        <v>0.33961258233651859</v>
      </c>
      <c r="AG104" s="12">
        <f t="shared" si="72"/>
        <v>0.33699999999999986</v>
      </c>
    </row>
    <row r="105" spans="1:33" ht="15.75" thickBot="1" x14ac:dyDescent="0.3">
      <c r="A105" s="2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21"/>
    </row>
    <row r="106" spans="1:33" x14ac:dyDescent="0.25">
      <c r="A106" s="113" t="s">
        <v>27</v>
      </c>
      <c r="B106" s="61" t="s">
        <v>28</v>
      </c>
      <c r="C106" s="56"/>
      <c r="D106" s="91">
        <f>D89*T106</f>
        <v>32.884005000000002</v>
      </c>
      <c r="E106" s="91">
        <f t="shared" ref="E106:Q106" si="73">E89*U106</f>
        <v>38.038334390421142</v>
      </c>
      <c r="F106" s="91">
        <f t="shared" si="73"/>
        <v>44.088370376704276</v>
      </c>
      <c r="G106" s="91">
        <f t="shared" si="73"/>
        <v>51.203977846136709</v>
      </c>
      <c r="H106" s="91">
        <f t="shared" si="73"/>
        <v>59.589797907933033</v>
      </c>
      <c r="I106" s="91">
        <f t="shared" si="73"/>
        <v>69.49287252541825</v>
      </c>
      <c r="J106" s="91">
        <f t="shared" si="73"/>
        <v>81.212048273551261</v>
      </c>
      <c r="K106" s="91">
        <f t="shared" si="73"/>
        <v>95.109598834404878</v>
      </c>
      <c r="L106" s="91">
        <f t="shared" si="73"/>
        <v>111.62562039896635</v>
      </c>
      <c r="M106" s="91">
        <f t="shared" si="73"/>
        <v>131.29590007118969</v>
      </c>
      <c r="N106" s="91">
        <f t="shared" si="73"/>
        <v>154.7741436718743</v>
      </c>
      <c r="O106" s="91">
        <f t="shared" si="73"/>
        <v>182.85968771776655</v>
      </c>
      <c r="P106" s="91">
        <f t="shared" si="73"/>
        <v>216.5321260515795</v>
      </c>
      <c r="Q106" s="91">
        <f t="shared" si="73"/>
        <v>256.99467453108792</v>
      </c>
      <c r="R106" s="78">
        <f>RATE(12,,-E106,Q106)</f>
        <v>0.17257838971448161</v>
      </c>
      <c r="S106" s="61" t="s">
        <v>28</v>
      </c>
      <c r="T106" s="12">
        <v>0.40099999999999997</v>
      </c>
      <c r="U106" s="12">
        <v>0.40265090533119946</v>
      </c>
      <c r="V106" s="12">
        <v>0.40430860739160734</v>
      </c>
      <c r="W106" s="12">
        <v>0.40597313416316017</v>
      </c>
      <c r="X106" s="12">
        <v>0.40764451374299493</v>
      </c>
      <c r="Y106" s="12">
        <v>0.40932277434392395</v>
      </c>
      <c r="Z106" s="12">
        <v>0.41100794429491083</v>
      </c>
      <c r="AA106" s="12">
        <v>0.4127000520415488</v>
      </c>
      <c r="AB106" s="12">
        <v>0.41439912614654062</v>
      </c>
      <c r="AC106" s="12">
        <v>0.41610519529018092</v>
      </c>
      <c r="AD106" s="12">
        <v>0.41781828827084017</v>
      </c>
      <c r="AE106" s="12">
        <v>0.4195384340054511</v>
      </c>
      <c r="AF106" s="12">
        <v>0.4212656615299965</v>
      </c>
      <c r="AG106" s="12">
        <v>0.42299999999999938</v>
      </c>
    </row>
    <row r="107" spans="1:33" x14ac:dyDescent="0.25">
      <c r="A107" s="114"/>
      <c r="B107" s="62" t="s">
        <v>29</v>
      </c>
      <c r="C107" s="47"/>
      <c r="D107" s="97">
        <f>D89*T107</f>
        <v>35.344155000000001</v>
      </c>
      <c r="E107" s="97">
        <f t="shared" ref="E107:Q107" si="74">E89*U107</f>
        <v>40.795476036051859</v>
      </c>
      <c r="F107" s="97">
        <f t="shared" si="74"/>
        <v>47.181546880633228</v>
      </c>
      <c r="G107" s="97">
        <f t="shared" si="74"/>
        <v>54.677600274886643</v>
      </c>
      <c r="H107" s="97">
        <f t="shared" si="74"/>
        <v>63.494377981002025</v>
      </c>
      <c r="I107" s="97">
        <f t="shared" si="74"/>
        <v>73.885844233477215</v>
      </c>
      <c r="J107" s="97">
        <f t="shared" si="74"/>
        <v>86.158683827393887</v>
      </c>
      <c r="K107" s="97">
        <f t="shared" si="74"/>
        <v>100.68402237016036</v>
      </c>
      <c r="L107" s="97">
        <f t="shared" si="74"/>
        <v>117.91191940405875</v>
      </c>
      <c r="M107" s="97">
        <f t="shared" si="74"/>
        <v>138.38932907104356</v>
      </c>
      <c r="N107" s="97">
        <f t="shared" si="74"/>
        <v>162.78240651490361</v>
      </c>
      <c r="O107" s="97">
        <f t="shared" si="74"/>
        <v>191.9042726914268</v>
      </c>
      <c r="P107" s="97">
        <f t="shared" si="74"/>
        <v>226.74965050624562</v>
      </c>
      <c r="Q107" s="97">
        <f t="shared" si="74"/>
        <v>268.53817055021534</v>
      </c>
      <c r="R107" s="83">
        <f>RATE(12,,-E107,Q107)</f>
        <v>0.17003674701412852</v>
      </c>
      <c r="S107" s="62" t="s">
        <v>29</v>
      </c>
      <c r="T107" s="12">
        <v>0.43099999999999999</v>
      </c>
      <c r="U107" s="12">
        <v>0.43183634674261745</v>
      </c>
      <c r="V107" s="12">
        <v>0.43267431639909548</v>
      </c>
      <c r="W107" s="12">
        <v>0.43351391211866536</v>
      </c>
      <c r="X107" s="12">
        <v>0.43435513705666956</v>
      </c>
      <c r="Y107" s="12">
        <v>0.43519799437457324</v>
      </c>
      <c r="Z107" s="12">
        <v>0.43604248723997657</v>
      </c>
      <c r="AA107" s="12">
        <v>0.43688861882662616</v>
      </c>
      <c r="AB107" s="12">
        <v>0.43773639231442729</v>
      </c>
      <c r="AC107" s="12">
        <v>0.43858581088945586</v>
      </c>
      <c r="AD107" s="12">
        <v>0.43943687774397006</v>
      </c>
      <c r="AE107" s="12">
        <v>0.44028959607642287</v>
      </c>
      <c r="AF107" s="12">
        <v>0.44114396909147369</v>
      </c>
      <c r="AG107" s="12">
        <v>0.44200000000000028</v>
      </c>
    </row>
    <row r="108" spans="1:33" ht="15.75" thickBot="1" x14ac:dyDescent="0.3">
      <c r="A108" s="115"/>
      <c r="B108" s="63" t="s">
        <v>30</v>
      </c>
      <c r="C108" s="51"/>
      <c r="D108" s="92">
        <f>D89*T108</f>
        <v>13.776840000000005</v>
      </c>
      <c r="E108" s="92">
        <f t="shared" ref="E108:Q108" si="75">E89*U108</f>
        <v>15.635949573527018</v>
      </c>
      <c r="F108" s="92">
        <f t="shared" si="75"/>
        <v>17.776414111019772</v>
      </c>
      <c r="G108" s="92">
        <f t="shared" si="75"/>
        <v>20.244939959254058</v>
      </c>
      <c r="H108" s="92">
        <f t="shared" si="75"/>
        <v>23.096616195764099</v>
      </c>
      <c r="I108" s="92">
        <f t="shared" si="75"/>
        <v>26.396523909801061</v>
      </c>
      <c r="J108" s="92">
        <f t="shared" si="75"/>
        <v>30.221673108816738</v>
      </c>
      <c r="K108" s="92">
        <f t="shared" si="75"/>
        <v>34.663337460488833</v>
      </c>
      <c r="L108" s="92">
        <f t="shared" si="75"/>
        <v>39.829872809454891</v>
      </c>
      <c r="M108" s="92">
        <f t="shared" si="75"/>
        <v>45.850124795434716</v>
      </c>
      <c r="N108" s="92">
        <f t="shared" si="75"/>
        <v>52.877554821918764</v>
      </c>
      <c r="O108" s="92">
        <f t="shared" si="75"/>
        <v>61.095243173071637</v>
      </c>
      <c r="P108" s="92">
        <f t="shared" si="75"/>
        <v>70.721964609104035</v>
      </c>
      <c r="Q108" s="92">
        <f t="shared" si="75"/>
        <v>82.019576978007109</v>
      </c>
      <c r="R108" s="79">
        <f>RATE(12,,-E108,Q108)</f>
        <v>0.14810807634645184</v>
      </c>
      <c r="S108" s="63" t="s">
        <v>30</v>
      </c>
      <c r="T108" s="12">
        <f>1-SUM(T106:T107)</f>
        <v>0.16800000000000004</v>
      </c>
      <c r="U108" s="12">
        <f t="shared" ref="U108:AG108" si="76">1-SUM(U106:U107)</f>
        <v>0.16551274792618309</v>
      </c>
      <c r="V108" s="12">
        <f t="shared" si="76"/>
        <v>0.16301707620929717</v>
      </c>
      <c r="W108" s="12">
        <f t="shared" si="76"/>
        <v>0.16051295371817442</v>
      </c>
      <c r="X108" s="12">
        <f t="shared" si="76"/>
        <v>0.15800034920033545</v>
      </c>
      <c r="Y108" s="12">
        <f t="shared" si="76"/>
        <v>0.15547923128150276</v>
      </c>
      <c r="Z108" s="12">
        <f t="shared" si="76"/>
        <v>0.15294956846511254</v>
      </c>
      <c r="AA108" s="12">
        <f t="shared" si="76"/>
        <v>0.15041132913182498</v>
      </c>
      <c r="AB108" s="12">
        <f t="shared" si="76"/>
        <v>0.14786448153903209</v>
      </c>
      <c r="AC108" s="12">
        <f t="shared" si="76"/>
        <v>0.14530899382036322</v>
      </c>
      <c r="AD108" s="12">
        <f t="shared" si="76"/>
        <v>0.14274483398518978</v>
      </c>
      <c r="AE108" s="12">
        <f t="shared" si="76"/>
        <v>0.14017196991812608</v>
      </c>
      <c r="AF108" s="12">
        <f t="shared" si="76"/>
        <v>0.13759036937852986</v>
      </c>
      <c r="AG108" s="12">
        <f t="shared" si="76"/>
        <v>0.13500000000000034</v>
      </c>
    </row>
    <row r="112" spans="1:33" ht="26.25" x14ac:dyDescent="0.4">
      <c r="A112" s="109" t="s">
        <v>74</v>
      </c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70"/>
    </row>
    <row r="113" spans="1:33" ht="24" thickBot="1" x14ac:dyDescent="0.4">
      <c r="A113" s="70"/>
      <c r="B113" s="70"/>
      <c r="C113" s="70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 spans="1:33" ht="15.75" x14ac:dyDescent="0.25">
      <c r="A114" s="49"/>
      <c r="B114" s="50"/>
      <c r="C114" s="100"/>
      <c r="D114" s="98">
        <v>2023</v>
      </c>
      <c r="E114" s="72">
        <v>2024</v>
      </c>
      <c r="F114" s="72">
        <v>2025</v>
      </c>
      <c r="G114" s="72">
        <v>2026</v>
      </c>
      <c r="H114" s="72">
        <v>2027</v>
      </c>
      <c r="I114" s="72">
        <v>2028</v>
      </c>
      <c r="J114" s="72">
        <v>2029</v>
      </c>
      <c r="K114" s="72">
        <v>2030</v>
      </c>
      <c r="L114" s="72">
        <v>2031</v>
      </c>
      <c r="M114" s="72">
        <v>2032</v>
      </c>
      <c r="N114" s="72">
        <v>2033</v>
      </c>
      <c r="O114" s="72">
        <v>2034</v>
      </c>
      <c r="P114" s="72">
        <v>2035</v>
      </c>
      <c r="Q114" s="72">
        <v>2036</v>
      </c>
      <c r="R114" s="73" t="s">
        <v>13</v>
      </c>
    </row>
    <row r="115" spans="1:33" ht="16.5" thickBot="1" x14ac:dyDescent="0.3">
      <c r="A115" s="26"/>
      <c r="B115" s="101"/>
      <c r="C115" s="102"/>
      <c r="D115" s="99">
        <f>'Market Analysis'!C42</f>
        <v>267.88300000000004</v>
      </c>
      <c r="E115" s="99">
        <f>'Market Analysis'!D42</f>
        <v>300.56472600000001</v>
      </c>
      <c r="F115" s="99">
        <f>'Market Analysis'!E42</f>
        <v>337.7004490561697</v>
      </c>
      <c r="G115" s="99">
        <f>'Market Analysis'!F42</f>
        <v>379.95558997846825</v>
      </c>
      <c r="H115" s="99">
        <f>'Market Analysis'!G42</f>
        <v>428.10320700423659</v>
      </c>
      <c r="I115" s="99">
        <f>'Market Analysis'!H42</f>
        <v>483.04267923920031</v>
      </c>
      <c r="J115" s="99">
        <f>'Market Analysis'!I42</f>
        <v>545.82184629612607</v>
      </c>
      <c r="K115" s="99">
        <f>'Market Analysis'!J42</f>
        <v>617.66328180710116</v>
      </c>
      <c r="L115" s="99">
        <f>'Market Analysis'!K42</f>
        <v>699.99551870032474</v>
      </c>
      <c r="M115" s="99">
        <f>'Market Analysis'!L42</f>
        <v>794.49021484732361</v>
      </c>
      <c r="N115" s="99">
        <f>'Market Analysis'!M42</f>
        <v>903.1064558546492</v>
      </c>
      <c r="O115" s="99">
        <f>'Market Analysis'!N42</f>
        <v>1028.1436460050325</v>
      </c>
      <c r="P115" s="99">
        <f>'Market Analysis'!O42</f>
        <v>1172.3047493245506</v>
      </c>
      <c r="Q115" s="99">
        <f>'Market Analysis'!P42</f>
        <v>1338.7720237286369</v>
      </c>
      <c r="R115" s="75">
        <f>RATE(12,,-E115,Q115)</f>
        <v>0.13256738641220495</v>
      </c>
      <c r="T115" s="72">
        <v>2023</v>
      </c>
      <c r="U115" s="72">
        <v>2024</v>
      </c>
      <c r="V115" s="72">
        <v>2025</v>
      </c>
      <c r="W115" s="72">
        <v>2026</v>
      </c>
      <c r="X115" s="72">
        <v>2027</v>
      </c>
      <c r="Y115" s="72">
        <v>2028</v>
      </c>
      <c r="Z115" s="72">
        <v>2029</v>
      </c>
      <c r="AA115" s="72">
        <v>2030</v>
      </c>
      <c r="AB115" s="72">
        <v>2031</v>
      </c>
      <c r="AC115" s="72">
        <v>2032</v>
      </c>
      <c r="AD115" s="72">
        <v>2033</v>
      </c>
      <c r="AE115" s="72">
        <v>2034</v>
      </c>
      <c r="AF115" s="72">
        <v>2035</v>
      </c>
      <c r="AG115" s="72">
        <v>2036</v>
      </c>
    </row>
    <row r="116" spans="1:33" x14ac:dyDescent="0.25">
      <c r="A116" s="110" t="s">
        <v>51</v>
      </c>
      <c r="B116" s="59" t="s">
        <v>34</v>
      </c>
      <c r="C116" s="52"/>
      <c r="D116" s="86">
        <f>D115*T116</f>
        <v>150.01448000000005</v>
      </c>
      <c r="E116" s="86">
        <f t="shared" ref="E116:Q116" si="77">E115*U116</f>
        <v>168.59325112231724</v>
      </c>
      <c r="F116" s="86">
        <f t="shared" si="77"/>
        <v>189.73522237883313</v>
      </c>
      <c r="G116" s="86">
        <f t="shared" si="77"/>
        <v>213.82737701771441</v>
      </c>
      <c r="H116" s="86">
        <f t="shared" si="77"/>
        <v>241.31987919709326</v>
      </c>
      <c r="I116" s="86">
        <f t="shared" si="77"/>
        <v>272.73713261909512</v>
      </c>
      <c r="J116" s="86">
        <f t="shared" si="77"/>
        <v>308.69090049014306</v>
      </c>
      <c r="K116" s="86">
        <f t="shared" si="77"/>
        <v>349.89589382721221</v>
      </c>
      <c r="L116" s="86">
        <f t="shared" si="77"/>
        <v>397.18831989502183</v>
      </c>
      <c r="M116" s="86">
        <f t="shared" si="77"/>
        <v>451.54798587576181</v>
      </c>
      <c r="N116" s="86">
        <f t="shared" si="77"/>
        <v>514.12467899430328</v>
      </c>
      <c r="O116" s="86">
        <f t="shared" si="77"/>
        <v>586.2696985203188</v>
      </c>
      <c r="P116" s="86">
        <f t="shared" si="77"/>
        <v>669.5736038901282</v>
      </c>
      <c r="Q116" s="86">
        <f t="shared" si="77"/>
        <v>765.91147477515187</v>
      </c>
      <c r="R116" s="84">
        <f>RATE(12,,-E116,Q116)</f>
        <v>0.13443129640057347</v>
      </c>
      <c r="S116" s="59" t="s">
        <v>34</v>
      </c>
      <c r="T116" s="12">
        <v>0.56000000000000005</v>
      </c>
      <c r="U116" s="12">
        <v>0.56092161367703952</v>
      </c>
      <c r="V116" s="12">
        <v>0.56184474408938223</v>
      </c>
      <c r="W116" s="12">
        <v>0.56276939373317769</v>
      </c>
      <c r="X116" s="12">
        <v>0.56369556510868446</v>
      </c>
      <c r="Y116" s="12">
        <v>0.56462326072027491</v>
      </c>
      <c r="Z116" s="12">
        <v>0.56555248307644368</v>
      </c>
      <c r="AA116" s="12">
        <v>0.56648323468981299</v>
      </c>
      <c r="AB116" s="12">
        <v>0.56741551807714108</v>
      </c>
      <c r="AC116" s="12">
        <v>0.56834933575932756</v>
      </c>
      <c r="AD116" s="12">
        <v>0.56928469026142059</v>
      </c>
      <c r="AE116" s="12">
        <v>0.57022158411262425</v>
      </c>
      <c r="AF116" s="12">
        <v>0.57116001984630527</v>
      </c>
      <c r="AG116" s="12">
        <v>0.57209999999999905</v>
      </c>
    </row>
    <row r="117" spans="1:33" ht="15.75" thickBot="1" x14ac:dyDescent="0.3">
      <c r="A117" s="111"/>
      <c r="B117" s="60" t="s">
        <v>35</v>
      </c>
      <c r="C117" s="53"/>
      <c r="D117" s="87">
        <f>D115*T117</f>
        <v>117.86852</v>
      </c>
      <c r="E117" s="87">
        <f t="shared" ref="E117:Q117" si="78">E115*U117</f>
        <v>131.97147487768277</v>
      </c>
      <c r="F117" s="87">
        <f t="shared" si="78"/>
        <v>147.96522667733657</v>
      </c>
      <c r="G117" s="87">
        <f t="shared" si="78"/>
        <v>166.12821296075384</v>
      </c>
      <c r="H117" s="87">
        <f t="shared" si="78"/>
        <v>186.78332780714334</v>
      </c>
      <c r="I117" s="87">
        <f t="shared" si="78"/>
        <v>210.30554662010519</v>
      </c>
      <c r="J117" s="87">
        <f t="shared" si="78"/>
        <v>237.13094580598298</v>
      </c>
      <c r="K117" s="87">
        <f t="shared" si="78"/>
        <v>267.76738797988895</v>
      </c>
      <c r="L117" s="87">
        <f t="shared" si="78"/>
        <v>302.8071988053029</v>
      </c>
      <c r="M117" s="87">
        <f t="shared" si="78"/>
        <v>342.9422289715618</v>
      </c>
      <c r="N117" s="87">
        <f t="shared" si="78"/>
        <v>388.98177686034592</v>
      </c>
      <c r="O117" s="87">
        <f t="shared" si="78"/>
        <v>441.87394748471365</v>
      </c>
      <c r="P117" s="87">
        <f t="shared" si="78"/>
        <v>502.73114543442233</v>
      </c>
      <c r="Q117" s="87">
        <f t="shared" si="78"/>
        <v>572.86054895348502</v>
      </c>
      <c r="R117" s="85">
        <f>RATE(12,,-E117,Q117)</f>
        <v>0.13013607190948054</v>
      </c>
      <c r="S117" s="60" t="s">
        <v>35</v>
      </c>
      <c r="T117" s="12">
        <f>1-T116</f>
        <v>0.43999999999999995</v>
      </c>
      <c r="U117" s="12">
        <f t="shared" ref="U117:AG117" si="79">1-U116</f>
        <v>0.43907838632296048</v>
      </c>
      <c r="V117" s="12">
        <f t="shared" si="79"/>
        <v>0.43815525591061777</v>
      </c>
      <c r="W117" s="12">
        <f t="shared" si="79"/>
        <v>0.43723060626682231</v>
      </c>
      <c r="X117" s="12">
        <f t="shared" si="79"/>
        <v>0.43630443489131554</v>
      </c>
      <c r="Y117" s="12">
        <f t="shared" si="79"/>
        <v>0.43537673927972509</v>
      </c>
      <c r="Z117" s="12">
        <f t="shared" si="79"/>
        <v>0.43444751692355632</v>
      </c>
      <c r="AA117" s="12">
        <f t="shared" si="79"/>
        <v>0.43351676531018701</v>
      </c>
      <c r="AB117" s="12">
        <f t="shared" si="79"/>
        <v>0.43258448192285892</v>
      </c>
      <c r="AC117" s="12">
        <f t="shared" si="79"/>
        <v>0.43165066424067244</v>
      </c>
      <c r="AD117" s="12">
        <f t="shared" si="79"/>
        <v>0.43071530973857941</v>
      </c>
      <c r="AE117" s="12">
        <f t="shared" si="79"/>
        <v>0.42977841588737575</v>
      </c>
      <c r="AF117" s="12">
        <f t="shared" si="79"/>
        <v>0.42883998015369473</v>
      </c>
      <c r="AG117" s="12">
        <f t="shared" si="79"/>
        <v>0.42790000000000095</v>
      </c>
    </row>
    <row r="118" spans="1:33" ht="15.75" thickBot="1" x14ac:dyDescent="0.3">
      <c r="A118" s="1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21"/>
    </row>
    <row r="119" spans="1:33" x14ac:dyDescent="0.25">
      <c r="A119" s="110" t="s">
        <v>15</v>
      </c>
      <c r="B119" s="64" t="s">
        <v>16</v>
      </c>
      <c r="C119" s="54"/>
      <c r="D119" s="89">
        <f>D115*T119</f>
        <v>126.172893</v>
      </c>
      <c r="E119" s="89">
        <f t="shared" ref="E119:Q119" si="80">E115*U119</f>
        <v>141.3810230376923</v>
      </c>
      <c r="F119" s="89">
        <f t="shared" si="80"/>
        <v>158.64128018354063</v>
      </c>
      <c r="G119" s="89">
        <f t="shared" si="80"/>
        <v>178.25762640605211</v>
      </c>
      <c r="H119" s="89">
        <f t="shared" si="80"/>
        <v>200.58281798944654</v>
      </c>
      <c r="I119" s="89">
        <f t="shared" si="80"/>
        <v>226.02681675477348</v>
      </c>
      <c r="J119" s="89">
        <f t="shared" si="80"/>
        <v>255.06674740376658</v>
      </c>
      <c r="K119" s="89">
        <f t="shared" si="80"/>
        <v>288.25870236336016</v>
      </c>
      <c r="L119" s="89">
        <f t="shared" si="80"/>
        <v>326.25175752348213</v>
      </c>
      <c r="M119" s="89">
        <f t="shared" si="80"/>
        <v>369.80463769547345</v>
      </c>
      <c r="N119" s="89">
        <f t="shared" si="80"/>
        <v>419.80556251766495</v>
      </c>
      <c r="O119" s="89">
        <f t="shared" si="80"/>
        <v>477.29591566464393</v>
      </c>
      <c r="P119" s="89">
        <f t="shared" si="80"/>
        <v>543.49851724454356</v>
      </c>
      <c r="Q119" s="89">
        <f t="shared" si="80"/>
        <v>619.85144698635884</v>
      </c>
      <c r="R119" s="76">
        <f>RATE(12,,-E119,Q119)</f>
        <v>0.13107492607491289</v>
      </c>
      <c r="S119" s="64" t="s">
        <v>16</v>
      </c>
      <c r="T119" s="12">
        <v>0.47099999999999992</v>
      </c>
      <c r="U119" s="12">
        <v>0.47038461538461535</v>
      </c>
      <c r="V119" s="12">
        <v>0.46976923076923072</v>
      </c>
      <c r="W119" s="12">
        <v>0.46915384615384609</v>
      </c>
      <c r="X119" s="12">
        <v>0.46853846153846151</v>
      </c>
      <c r="Y119" s="12">
        <v>0.46792307692307689</v>
      </c>
      <c r="Z119" s="12">
        <v>0.46730769230769226</v>
      </c>
      <c r="AA119" s="12">
        <v>0.46669230769230763</v>
      </c>
      <c r="AB119" s="12">
        <v>0.46607692307692306</v>
      </c>
      <c r="AC119" s="12">
        <v>0.46546153846153843</v>
      </c>
      <c r="AD119" s="12">
        <v>0.4648461538461538</v>
      </c>
      <c r="AE119" s="12">
        <v>0.46423076923076922</v>
      </c>
      <c r="AF119" s="12">
        <v>0.4636153846153846</v>
      </c>
      <c r="AG119" s="12">
        <v>0.46299999999999997</v>
      </c>
    </row>
    <row r="120" spans="1:33" ht="15.75" thickBot="1" x14ac:dyDescent="0.3">
      <c r="A120" s="111"/>
      <c r="B120" s="65" t="s">
        <v>17</v>
      </c>
      <c r="C120" s="55"/>
      <c r="D120" s="90">
        <f>D115*T120</f>
        <v>141.71010700000005</v>
      </c>
      <c r="E120" s="90">
        <f t="shared" ref="E120:Q120" si="81">E115*U120</f>
        <v>159.18370296230768</v>
      </c>
      <c r="F120" s="90">
        <f t="shared" si="81"/>
        <v>179.05916887262907</v>
      </c>
      <c r="G120" s="90">
        <f t="shared" si="81"/>
        <v>201.69796357241614</v>
      </c>
      <c r="H120" s="90">
        <f t="shared" si="81"/>
        <v>227.52038901479003</v>
      </c>
      <c r="I120" s="90">
        <f t="shared" si="81"/>
        <v>257.0158624844268</v>
      </c>
      <c r="J120" s="90">
        <f t="shared" si="81"/>
        <v>290.75509889235951</v>
      </c>
      <c r="K120" s="90">
        <f t="shared" si="81"/>
        <v>329.404579443741</v>
      </c>
      <c r="L120" s="90">
        <f t="shared" si="81"/>
        <v>373.74376117684261</v>
      </c>
      <c r="M120" s="90">
        <f t="shared" si="81"/>
        <v>424.68557715185023</v>
      </c>
      <c r="N120" s="90">
        <f t="shared" si="81"/>
        <v>483.30089333698425</v>
      </c>
      <c r="O120" s="90">
        <f t="shared" si="81"/>
        <v>550.84773034038858</v>
      </c>
      <c r="P120" s="90">
        <f t="shared" si="81"/>
        <v>628.80623208000713</v>
      </c>
      <c r="Q120" s="90">
        <f t="shared" si="81"/>
        <v>718.92057674227806</v>
      </c>
      <c r="R120" s="77">
        <f>RATE(12,,-E120,Q120)</f>
        <v>0.13387503296165948</v>
      </c>
      <c r="S120" s="65" t="s">
        <v>17</v>
      </c>
      <c r="T120" s="12">
        <f>1-T119</f>
        <v>0.52900000000000014</v>
      </c>
      <c r="U120" s="12">
        <f t="shared" ref="U120:AG120" si="82">1-U119</f>
        <v>0.5296153846153846</v>
      </c>
      <c r="V120" s="12">
        <f t="shared" si="82"/>
        <v>0.53023076923076928</v>
      </c>
      <c r="W120" s="12">
        <f t="shared" si="82"/>
        <v>0.53084615384615397</v>
      </c>
      <c r="X120" s="12">
        <f t="shared" si="82"/>
        <v>0.53146153846153843</v>
      </c>
      <c r="Y120" s="12">
        <f t="shared" si="82"/>
        <v>0.53207692307692311</v>
      </c>
      <c r="Z120" s="12">
        <f t="shared" si="82"/>
        <v>0.5326923076923078</v>
      </c>
      <c r="AA120" s="12">
        <f t="shared" si="82"/>
        <v>0.53330769230769237</v>
      </c>
      <c r="AB120" s="12">
        <f t="shared" si="82"/>
        <v>0.53392307692307694</v>
      </c>
      <c r="AC120" s="12">
        <f t="shared" si="82"/>
        <v>0.53453846153846163</v>
      </c>
      <c r="AD120" s="12">
        <f t="shared" si="82"/>
        <v>0.5351538461538462</v>
      </c>
      <c r="AE120" s="12">
        <f t="shared" si="82"/>
        <v>0.53576923076923078</v>
      </c>
      <c r="AF120" s="12">
        <f t="shared" si="82"/>
        <v>0.53638461538461546</v>
      </c>
      <c r="AG120" s="12">
        <f t="shared" si="82"/>
        <v>0.53700000000000003</v>
      </c>
    </row>
    <row r="121" spans="1:33" ht="15.75" thickBot="1" x14ac:dyDescent="0.3">
      <c r="A121" s="1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21"/>
    </row>
    <row r="122" spans="1:33" x14ac:dyDescent="0.25">
      <c r="A122" s="110" t="s">
        <v>18</v>
      </c>
      <c r="B122" s="61" t="s">
        <v>19</v>
      </c>
      <c r="C122" s="56"/>
      <c r="D122" s="91">
        <f>D115*T122</f>
        <v>107.42108300000001</v>
      </c>
      <c r="E122" s="91">
        <f t="shared" ref="E122:Q122" si="83">E115*U122</f>
        <v>121.02265903452391</v>
      </c>
      <c r="F122" s="91">
        <f t="shared" si="83"/>
        <v>136.53519827342041</v>
      </c>
      <c r="G122" s="91">
        <f t="shared" si="83"/>
        <v>154.25176170637135</v>
      </c>
      <c r="H122" s="91">
        <f t="shared" si="83"/>
        <v>174.51392365105872</v>
      </c>
      <c r="I122" s="91">
        <f t="shared" si="83"/>
        <v>197.72036959271162</v>
      </c>
      <c r="J122" s="91">
        <f t="shared" si="83"/>
        <v>224.33711499742355</v>
      </c>
      <c r="K122" s="91">
        <f t="shared" si="83"/>
        <v>254.90966854594447</v>
      </c>
      <c r="L122" s="91">
        <f t="shared" si="83"/>
        <v>290.07753125590898</v>
      </c>
      <c r="M122" s="91">
        <f t="shared" si="83"/>
        <v>330.59150600518336</v>
      </c>
      <c r="N122" s="91">
        <f t="shared" si="83"/>
        <v>377.33439351153459</v>
      </c>
      <c r="O122" s="91">
        <f t="shared" si="83"/>
        <v>431.34577517760619</v>
      </c>
      <c r="P122" s="91">
        <f t="shared" si="83"/>
        <v>493.8517357389635</v>
      </c>
      <c r="Q122" s="91">
        <f t="shared" si="83"/>
        <v>566.30056603721255</v>
      </c>
      <c r="R122" s="78">
        <f>RATE(12,,-E122,Q122)</f>
        <v>0.13723013338519893</v>
      </c>
      <c r="S122" s="61" t="s">
        <v>19</v>
      </c>
      <c r="T122" s="12">
        <v>0.40099999999999997</v>
      </c>
      <c r="U122" s="12">
        <v>0.40265090533119946</v>
      </c>
      <c r="V122" s="12">
        <v>0.40430860739160734</v>
      </c>
      <c r="W122" s="12">
        <v>0.40597313416316017</v>
      </c>
      <c r="X122" s="12">
        <v>0.40764451374299493</v>
      </c>
      <c r="Y122" s="12">
        <v>0.40932277434392395</v>
      </c>
      <c r="Z122" s="12">
        <v>0.41100794429491083</v>
      </c>
      <c r="AA122" s="12">
        <v>0.4127000520415488</v>
      </c>
      <c r="AB122" s="12">
        <v>0.41439912614654062</v>
      </c>
      <c r="AC122" s="12">
        <v>0.41610519529018092</v>
      </c>
      <c r="AD122" s="12">
        <v>0.41781828827084017</v>
      </c>
      <c r="AE122" s="12">
        <v>0.4195384340054511</v>
      </c>
      <c r="AF122" s="12">
        <v>0.4212656615299965</v>
      </c>
      <c r="AG122" s="12">
        <v>0.42299999999999938</v>
      </c>
    </row>
    <row r="123" spans="1:33" ht="15.75" thickBot="1" x14ac:dyDescent="0.3">
      <c r="A123" s="111"/>
      <c r="B123" s="63" t="s">
        <v>20</v>
      </c>
      <c r="C123" s="51"/>
      <c r="D123" s="92">
        <f>D115*T123</f>
        <v>160.46191700000003</v>
      </c>
      <c r="E123" s="92">
        <f t="shared" ref="E123:Q123" si="84">E115*U123</f>
        <v>179.5420669654761</v>
      </c>
      <c r="F123" s="92">
        <f t="shared" si="84"/>
        <v>201.1652507827493</v>
      </c>
      <c r="G123" s="92">
        <f t="shared" si="84"/>
        <v>225.7038282720969</v>
      </c>
      <c r="H123" s="92">
        <f t="shared" si="84"/>
        <v>253.58928335317788</v>
      </c>
      <c r="I123" s="92">
        <f t="shared" si="84"/>
        <v>285.32230964648869</v>
      </c>
      <c r="J123" s="92">
        <f t="shared" si="84"/>
        <v>321.48473129870251</v>
      </c>
      <c r="K123" s="92">
        <f t="shared" si="84"/>
        <v>362.75361326115666</v>
      </c>
      <c r="L123" s="92">
        <f t="shared" si="84"/>
        <v>409.91798744441576</v>
      </c>
      <c r="M123" s="92">
        <f t="shared" si="84"/>
        <v>463.89870884214025</v>
      </c>
      <c r="N123" s="92">
        <f t="shared" si="84"/>
        <v>525.77206234311461</v>
      </c>
      <c r="O123" s="92">
        <f t="shared" si="84"/>
        <v>596.79787082742632</v>
      </c>
      <c r="P123" s="92">
        <f t="shared" si="84"/>
        <v>678.45301358558697</v>
      </c>
      <c r="Q123" s="92">
        <f t="shared" si="84"/>
        <v>772.47145769142435</v>
      </c>
      <c r="R123" s="79">
        <f>RATE(12,,-E123,Q123)</f>
        <v>0.12930092812149668</v>
      </c>
      <c r="S123" s="63" t="s">
        <v>20</v>
      </c>
      <c r="T123" s="12">
        <f>1-T122</f>
        <v>0.59899999999999998</v>
      </c>
      <c r="U123" s="12">
        <f t="shared" ref="U123:AG123" si="85">1-U122</f>
        <v>0.59734909466880048</v>
      </c>
      <c r="V123" s="12">
        <f t="shared" si="85"/>
        <v>0.59569139260839266</v>
      </c>
      <c r="W123" s="12">
        <f t="shared" si="85"/>
        <v>0.59402686583683983</v>
      </c>
      <c r="X123" s="12">
        <f t="shared" si="85"/>
        <v>0.59235548625700507</v>
      </c>
      <c r="Y123" s="12">
        <f t="shared" si="85"/>
        <v>0.59067722565607605</v>
      </c>
      <c r="Z123" s="12">
        <f t="shared" si="85"/>
        <v>0.58899205570508917</v>
      </c>
      <c r="AA123" s="12">
        <f t="shared" si="85"/>
        <v>0.5872999479584512</v>
      </c>
      <c r="AB123" s="12">
        <f t="shared" si="85"/>
        <v>0.58560087385345938</v>
      </c>
      <c r="AC123" s="12">
        <f t="shared" si="85"/>
        <v>0.58389480470981914</v>
      </c>
      <c r="AD123" s="12">
        <f t="shared" si="85"/>
        <v>0.58218171172915989</v>
      </c>
      <c r="AE123" s="12">
        <f t="shared" si="85"/>
        <v>0.5804615659945489</v>
      </c>
      <c r="AF123" s="12">
        <f t="shared" si="85"/>
        <v>0.57873433847000344</v>
      </c>
      <c r="AG123" s="12">
        <f t="shared" si="85"/>
        <v>0.57700000000000062</v>
      </c>
    </row>
    <row r="124" spans="1:33" ht="15.75" thickBot="1" x14ac:dyDescent="0.3">
      <c r="A124" s="2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21"/>
    </row>
    <row r="125" spans="1:33" x14ac:dyDescent="0.25">
      <c r="A125" s="110" t="s">
        <v>14</v>
      </c>
      <c r="B125" s="66" t="s">
        <v>21</v>
      </c>
      <c r="C125" s="57"/>
      <c r="D125" s="93">
        <f>D115*T125</f>
        <v>66.97075000000001</v>
      </c>
      <c r="E125" s="93">
        <f t="shared" ref="E125:Q125" si="86">E115*U125</f>
        <v>75.608840795092888</v>
      </c>
      <c r="F125" s="93">
        <f t="shared" si="86"/>
        <v>85.479262629204641</v>
      </c>
      <c r="G125" s="93">
        <f t="shared" si="86"/>
        <v>96.773517618122156</v>
      </c>
      <c r="H125" s="93">
        <f t="shared" si="86"/>
        <v>109.71518268423328</v>
      </c>
      <c r="I125" s="93">
        <f t="shared" si="86"/>
        <v>124.56565444341599</v>
      </c>
      <c r="J125" s="93">
        <f t="shared" si="86"/>
        <v>141.63098770126305</v>
      </c>
      <c r="K125" s="93">
        <f t="shared" si="86"/>
        <v>161.2700477299488</v>
      </c>
      <c r="L125" s="93">
        <f t="shared" si="86"/>
        <v>183.90424318508894</v>
      </c>
      <c r="M125" s="93">
        <f t="shared" si="86"/>
        <v>210.029163602154</v>
      </c>
      <c r="N125" s="93">
        <f t="shared" si="86"/>
        <v>240.22851530533373</v>
      </c>
      <c r="O125" s="93">
        <f t="shared" si="86"/>
        <v>275.19083527793117</v>
      </c>
      <c r="P125" s="93">
        <f t="shared" si="86"/>
        <v>315.7295678300469</v>
      </c>
      <c r="Q125" s="93">
        <f t="shared" si="86"/>
        <v>362.80721843046075</v>
      </c>
      <c r="R125" s="80">
        <f t="shared" ref="R125:R130" si="87">RATE(12,,-E125,Q125)</f>
        <v>0.13961619313844251</v>
      </c>
      <c r="S125" s="66" t="s">
        <v>21</v>
      </c>
      <c r="T125" s="12">
        <v>0.25</v>
      </c>
      <c r="U125" s="12">
        <v>0.25155593539307364</v>
      </c>
      <c r="V125" s="12">
        <v>0.25312155452593693</v>
      </c>
      <c r="W125" s="12">
        <v>0.25469691766768382</v>
      </c>
      <c r="X125" s="12">
        <v>0.25628208546250747</v>
      </c>
      <c r="Y125" s="12">
        <v>0.2578771189320348</v>
      </c>
      <c r="Z125" s="12">
        <v>0.25948207947767565</v>
      </c>
      <c r="AA125" s="12">
        <v>0.2610970288829863</v>
      </c>
      <c r="AB125" s="12">
        <v>0.26272202931604799</v>
      </c>
      <c r="AC125" s="12">
        <v>0.26435714333185978</v>
      </c>
      <c r="AD125" s="12">
        <v>0.26600243387474731</v>
      </c>
      <c r="AE125" s="12">
        <v>0.26765796428078514</v>
      </c>
      <c r="AF125" s="12">
        <v>0.26932379828023517</v>
      </c>
      <c r="AG125" s="12">
        <v>0.27100000000000013</v>
      </c>
    </row>
    <row r="126" spans="1:33" x14ac:dyDescent="0.25">
      <c r="A126" s="112"/>
      <c r="B126" s="67" t="s">
        <v>22</v>
      </c>
      <c r="C126" s="48"/>
      <c r="D126" s="94">
        <f>D115*T126</f>
        <v>101.79554000000002</v>
      </c>
      <c r="E126" s="94">
        <f t="shared" ref="E126:Q126" si="88">E115*U126</f>
        <v>114.4880765323324</v>
      </c>
      <c r="F126" s="94">
        <f t="shared" si="88"/>
        <v>128.94144648756665</v>
      </c>
      <c r="G126" s="94">
        <f t="shared" si="88"/>
        <v>145.42276224885217</v>
      </c>
      <c r="H126" s="94">
        <f t="shared" si="88"/>
        <v>164.24293004865189</v>
      </c>
      <c r="I126" s="94">
        <f t="shared" si="88"/>
        <v>185.7643443187651</v>
      </c>
      <c r="J126" s="94">
        <f t="shared" si="88"/>
        <v>210.410021225718</v>
      </c>
      <c r="K126" s="94">
        <f t="shared" si="88"/>
        <v>238.67445647248172</v>
      </c>
      <c r="L126" s="94">
        <f t="shared" si="88"/>
        <v>271.13655199404758</v>
      </c>
      <c r="M126" s="94">
        <f t="shared" si="88"/>
        <v>308.47502878918283</v>
      </c>
      <c r="N126" s="94">
        <f t="shared" si="88"/>
        <v>351.48683181781917</v>
      </c>
      <c r="O126" s="94">
        <f t="shared" si="88"/>
        <v>401.10914137853291</v>
      </c>
      <c r="P126" s="94">
        <f t="shared" si="88"/>
        <v>458.44573829102802</v>
      </c>
      <c r="Q126" s="94">
        <f t="shared" si="88"/>
        <v>524.79863330162573</v>
      </c>
      <c r="R126" s="81">
        <f t="shared" si="87"/>
        <v>0.13527925756369799</v>
      </c>
      <c r="S126" s="67" t="s">
        <v>22</v>
      </c>
      <c r="T126" s="12">
        <v>0.38</v>
      </c>
      <c r="U126" s="12">
        <v>0.38090988938047371</v>
      </c>
      <c r="V126" s="12">
        <v>0.38182195744169661</v>
      </c>
      <c r="W126" s="12">
        <v>0.38273620940040159</v>
      </c>
      <c r="X126" s="12">
        <v>0.38365265048581265</v>
      </c>
      <c r="Y126" s="12">
        <v>0.38457128593967477</v>
      </c>
      <c r="Z126" s="12">
        <v>0.38549212101628438</v>
      </c>
      <c r="AA126" s="12">
        <v>0.38641516098251855</v>
      </c>
      <c r="AB126" s="12">
        <v>0.38734041111786593</v>
      </c>
      <c r="AC126" s="12">
        <v>0.38826787671445667</v>
      </c>
      <c r="AD126" s="12">
        <v>0.38919756307709236</v>
      </c>
      <c r="AE126" s="12">
        <v>0.39012947552327681</v>
      </c>
      <c r="AF126" s="12">
        <v>0.3910636193832463</v>
      </c>
      <c r="AG126" s="12">
        <v>0.39200000000000002</v>
      </c>
    </row>
    <row r="127" spans="1:33" x14ac:dyDescent="0.25">
      <c r="A127" s="112"/>
      <c r="B127" s="68" t="s">
        <v>23</v>
      </c>
      <c r="C127" s="48"/>
      <c r="D127" s="95">
        <f>D126*T127</f>
        <v>35.628438999999993</v>
      </c>
      <c r="E127" s="95">
        <f t="shared" ref="E127:Q127" si="89">E126*U127</f>
        <v>40.000517812015858</v>
      </c>
      <c r="F127" s="95">
        <f t="shared" si="89"/>
        <v>44.971275166276705</v>
      </c>
      <c r="G127" s="95">
        <f t="shared" si="89"/>
        <v>50.630517217035063</v>
      </c>
      <c r="H127" s="95">
        <f t="shared" si="89"/>
        <v>57.082629215114714</v>
      </c>
      <c r="I127" s="95">
        <f t="shared" si="89"/>
        <v>64.44911428597581</v>
      </c>
      <c r="J127" s="95">
        <f t="shared" si="89"/>
        <v>72.87160323234346</v>
      </c>
      <c r="K127" s="95">
        <f t="shared" si="89"/>
        <v>82.515427968458098</v>
      </c>
      <c r="L127" s="95">
        <f t="shared" si="89"/>
        <v>93.573870402246257</v>
      </c>
      <c r="M127" s="95">
        <f t="shared" si="89"/>
        <v>106.27322197928119</v>
      </c>
      <c r="N127" s="95">
        <f t="shared" si="89"/>
        <v>120.87881764522642</v>
      </c>
      <c r="O127" s="95">
        <f t="shared" si="89"/>
        <v>137.70224285693197</v>
      </c>
      <c r="P127" s="95">
        <f t="shared" si="89"/>
        <v>157.10995494723193</v>
      </c>
      <c r="Q127" s="95">
        <f t="shared" si="89"/>
        <v>179.53361245248604</v>
      </c>
      <c r="R127" s="81">
        <f t="shared" si="87"/>
        <v>0.13328727670017462</v>
      </c>
      <c r="S127" s="68" t="s">
        <v>23</v>
      </c>
      <c r="T127" s="74">
        <v>0.34999999999999987</v>
      </c>
      <c r="U127" s="74">
        <v>0.34938588387166564</v>
      </c>
      <c r="V127" s="74">
        <v>0.34877284528224306</v>
      </c>
      <c r="W127" s="74">
        <v>0.34816088234106346</v>
      </c>
      <c r="X127" s="74">
        <v>0.34754999316077562</v>
      </c>
      <c r="Y127" s="74">
        <v>0.34694017585733994</v>
      </c>
      <c r="Z127" s="74">
        <v>0.34633142855002247</v>
      </c>
      <c r="AA127" s="74">
        <v>0.34572374936138933</v>
      </c>
      <c r="AB127" s="74">
        <v>0.34511713641730069</v>
      </c>
      <c r="AC127" s="74">
        <v>0.34451158784690528</v>
      </c>
      <c r="AD127" s="74">
        <v>0.34390710178263434</v>
      </c>
      <c r="AE127" s="74">
        <v>0.34330367636019604</v>
      </c>
      <c r="AF127" s="74">
        <v>0.34270130971856966</v>
      </c>
      <c r="AG127" s="74">
        <v>0.34209999999999979</v>
      </c>
    </row>
    <row r="128" spans="1:33" x14ac:dyDescent="0.25">
      <c r="A128" s="112"/>
      <c r="B128" s="68" t="s">
        <v>24</v>
      </c>
      <c r="C128" s="48"/>
      <c r="D128" s="95">
        <f>D126*T128</f>
        <v>28.502751200000006</v>
      </c>
      <c r="E128" s="95">
        <f t="shared" ref="E128:Q128" si="90">E126*U128</f>
        <v>32.168766814644648</v>
      </c>
      <c r="F128" s="95">
        <f t="shared" si="90"/>
        <v>36.356562466191967</v>
      </c>
      <c r="G128" s="95">
        <f t="shared" si="90"/>
        <v>41.147057897760185</v>
      </c>
      <c r="H128" s="95">
        <f t="shared" si="90"/>
        <v>46.634701835514967</v>
      </c>
      <c r="I128" s="95">
        <f t="shared" si="90"/>
        <v>52.929891227448913</v>
      </c>
      <c r="J128" s="95">
        <f t="shared" si="90"/>
        <v>60.161850331892289</v>
      </c>
      <c r="K128" s="95">
        <f t="shared" si="90"/>
        <v>68.482062108581658</v>
      </c>
      <c r="L128" s="95">
        <f t="shared" si="90"/>
        <v>78.068363945082822</v>
      </c>
      <c r="M128" s="95">
        <f t="shared" si="90"/>
        <v>89.12984368438967</v>
      </c>
      <c r="N128" s="95">
        <f t="shared" si="90"/>
        <v>101.9127012185489</v>
      </c>
      <c r="O128" s="95">
        <f t="shared" si="90"/>
        <v>116.70727683722487</v>
      </c>
      <c r="P128" s="95">
        <f t="shared" si="90"/>
        <v>133.85649163660594</v>
      </c>
      <c r="Q128" s="95">
        <f t="shared" si="90"/>
        <v>153.76599955737615</v>
      </c>
      <c r="R128" s="81">
        <f t="shared" si="87"/>
        <v>0.13924944389158309</v>
      </c>
      <c r="S128" s="68" t="s">
        <v>24</v>
      </c>
      <c r="T128" s="74">
        <v>0.28000000000000003</v>
      </c>
      <c r="U128" s="74">
        <v>0.28097918830490543</v>
      </c>
      <c r="V128" s="74">
        <v>0.28196180093029821</v>
      </c>
      <c r="W128" s="74">
        <v>0.28294784985137333</v>
      </c>
      <c r="X128" s="74">
        <v>0.28393734708520407</v>
      </c>
      <c r="Y128" s="74">
        <v>0.28493030469088876</v>
      </c>
      <c r="Z128" s="74">
        <v>0.28592673476969749</v>
      </c>
      <c r="AA128" s="74">
        <v>0.28692664946521995</v>
      </c>
      <c r="AB128" s="74">
        <v>0.28793006096351298</v>
      </c>
      <c r="AC128" s="74">
        <v>0.28893698149324931</v>
      </c>
      <c r="AD128" s="74">
        <v>0.28994742332586665</v>
      </c>
      <c r="AE128" s="74">
        <v>0.29096139877571725</v>
      </c>
      <c r="AF128" s="74">
        <v>0.29197892020021765</v>
      </c>
      <c r="AG128" s="74">
        <v>0.29299999999999965</v>
      </c>
    </row>
    <row r="129" spans="1:33" x14ac:dyDescent="0.25">
      <c r="A129" s="112"/>
      <c r="B129" s="68" t="s">
        <v>25</v>
      </c>
      <c r="C129" s="48"/>
      <c r="D129" s="95">
        <f>D126*T129</f>
        <v>37.664349800000018</v>
      </c>
      <c r="E129" s="95">
        <f t="shared" ref="E129:Q129" si="91">E126*U129</f>
        <v>42.318791905671901</v>
      </c>
      <c r="F129" s="95">
        <f t="shared" si="91"/>
        <v>47.613608855097979</v>
      </c>
      <c r="G129" s="95">
        <f t="shared" si="91"/>
        <v>53.645187134056918</v>
      </c>
      <c r="H129" s="95">
        <f t="shared" si="91"/>
        <v>60.525598998022204</v>
      </c>
      <c r="I129" s="95">
        <f t="shared" si="91"/>
        <v>68.385338805340382</v>
      </c>
      <c r="J129" s="95">
        <f t="shared" si="91"/>
        <v>77.376567661482241</v>
      </c>
      <c r="K129" s="95">
        <f t="shared" si="91"/>
        <v>87.67696639544198</v>
      </c>
      <c r="L129" s="95">
        <f t="shared" si="91"/>
        <v>99.494317646718514</v>
      </c>
      <c r="M129" s="95">
        <f t="shared" si="91"/>
        <v>113.07196312551197</v>
      </c>
      <c r="N129" s="95">
        <f t="shared" si="91"/>
        <v>128.69531295404383</v>
      </c>
      <c r="O129" s="95">
        <f t="shared" si="91"/>
        <v>146.69962168437604</v>
      </c>
      <c r="P129" s="95">
        <f t="shared" si="91"/>
        <v>167.47929170719019</v>
      </c>
      <c r="Q129" s="95">
        <f t="shared" si="91"/>
        <v>191.49902129176351</v>
      </c>
      <c r="R129" s="81">
        <f t="shared" si="87"/>
        <v>0.13406019750262013</v>
      </c>
      <c r="S129" s="68" t="s">
        <v>25</v>
      </c>
      <c r="T129" s="74">
        <f>1-SUM(T127:T128)</f>
        <v>0.37000000000000011</v>
      </c>
      <c r="U129" s="74">
        <f t="shared" ref="U129:AG129" si="92">1-SUM(U127:U128)</f>
        <v>0.36963492782342899</v>
      </c>
      <c r="V129" s="74">
        <f t="shared" si="92"/>
        <v>0.36926535378745873</v>
      </c>
      <c r="W129" s="74">
        <f t="shared" si="92"/>
        <v>0.36889126780756321</v>
      </c>
      <c r="X129" s="74">
        <f t="shared" si="92"/>
        <v>0.36851265975402026</v>
      </c>
      <c r="Y129" s="74">
        <f t="shared" si="92"/>
        <v>0.3681295194517713</v>
      </c>
      <c r="Z129" s="74">
        <f t="shared" si="92"/>
        <v>0.36774183668028004</v>
      </c>
      <c r="AA129" s="74">
        <f t="shared" si="92"/>
        <v>0.36734960117339077</v>
      </c>
      <c r="AB129" s="74">
        <f t="shared" si="92"/>
        <v>0.36695280261918639</v>
      </c>
      <c r="AC129" s="74">
        <f t="shared" si="92"/>
        <v>0.36655143065984541</v>
      </c>
      <c r="AD129" s="74">
        <f t="shared" si="92"/>
        <v>0.36614547489149896</v>
      </c>
      <c r="AE129" s="74">
        <f t="shared" si="92"/>
        <v>0.36573492486408665</v>
      </c>
      <c r="AF129" s="74">
        <f t="shared" si="92"/>
        <v>0.36531977008121275</v>
      </c>
      <c r="AG129" s="74">
        <f t="shared" si="92"/>
        <v>0.36490000000000056</v>
      </c>
    </row>
    <row r="130" spans="1:33" ht="15.75" thickBot="1" x14ac:dyDescent="0.3">
      <c r="A130" s="111"/>
      <c r="B130" s="69" t="s">
        <v>26</v>
      </c>
      <c r="C130" s="58"/>
      <c r="D130" s="96">
        <f>D115*T130</f>
        <v>99.116710000000012</v>
      </c>
      <c r="E130" s="96">
        <f t="shared" ref="E130:Q130" si="93">E115*U130</f>
        <v>110.46780867257475</v>
      </c>
      <c r="F130" s="96">
        <f t="shared" si="93"/>
        <v>123.2797399393984</v>
      </c>
      <c r="G130" s="96">
        <f t="shared" si="93"/>
        <v>137.75931011149393</v>
      </c>
      <c r="H130" s="96">
        <f t="shared" si="93"/>
        <v>154.14509427135144</v>
      </c>
      <c r="I130" s="96">
        <f t="shared" si="93"/>
        <v>172.71268047701918</v>
      </c>
      <c r="J130" s="96">
        <f t="shared" si="93"/>
        <v>193.78083736914502</v>
      </c>
      <c r="K130" s="96">
        <f t="shared" si="93"/>
        <v>217.71877760467063</v>
      </c>
      <c r="L130" s="96">
        <f t="shared" si="93"/>
        <v>244.95472352118821</v>
      </c>
      <c r="M130" s="96">
        <f t="shared" si="93"/>
        <v>275.98602245598681</v>
      </c>
      <c r="N130" s="96">
        <f t="shared" si="93"/>
        <v>311.39110873149639</v>
      </c>
      <c r="O130" s="96">
        <f t="shared" si="93"/>
        <v>351.84366934856837</v>
      </c>
      <c r="P130" s="96">
        <f t="shared" si="93"/>
        <v>398.12944320347572</v>
      </c>
      <c r="Q130" s="96">
        <f t="shared" si="93"/>
        <v>451.16617199655042</v>
      </c>
      <c r="R130" s="82">
        <f t="shared" si="87"/>
        <v>0.1244109488110077</v>
      </c>
      <c r="S130" s="69" t="s">
        <v>26</v>
      </c>
      <c r="T130" s="12">
        <f>1-SUM(T125+T126)</f>
        <v>0.37</v>
      </c>
      <c r="U130" s="12">
        <f t="shared" ref="U130:AG130" si="94">1-SUM(U125+U126)</f>
        <v>0.36753417522645271</v>
      </c>
      <c r="V130" s="12">
        <f t="shared" si="94"/>
        <v>0.36505648803236646</v>
      </c>
      <c r="W130" s="12">
        <f t="shared" si="94"/>
        <v>0.36256687293191459</v>
      </c>
      <c r="X130" s="12">
        <f t="shared" si="94"/>
        <v>0.36006526405167993</v>
      </c>
      <c r="Y130" s="12">
        <f t="shared" si="94"/>
        <v>0.35755159512829038</v>
      </c>
      <c r="Z130" s="12">
        <f t="shared" si="94"/>
        <v>0.35502579950603996</v>
      </c>
      <c r="AA130" s="12">
        <f t="shared" si="94"/>
        <v>0.35248781013449515</v>
      </c>
      <c r="AB130" s="12">
        <f t="shared" si="94"/>
        <v>0.34993755956608608</v>
      </c>
      <c r="AC130" s="12">
        <f t="shared" si="94"/>
        <v>0.3473749799536836</v>
      </c>
      <c r="AD130" s="12">
        <f t="shared" si="94"/>
        <v>0.34480000304816039</v>
      </c>
      <c r="AE130" s="12">
        <f t="shared" si="94"/>
        <v>0.34221256019593804</v>
      </c>
      <c r="AF130" s="12">
        <f t="shared" si="94"/>
        <v>0.33961258233651859</v>
      </c>
      <c r="AG130" s="12">
        <f t="shared" si="94"/>
        <v>0.33699999999999986</v>
      </c>
    </row>
    <row r="131" spans="1:33" ht="15.75" thickBot="1" x14ac:dyDescent="0.3">
      <c r="A131" s="2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21"/>
    </row>
    <row r="132" spans="1:33" x14ac:dyDescent="0.25">
      <c r="A132" s="113" t="s">
        <v>27</v>
      </c>
      <c r="B132" s="61" t="s">
        <v>28</v>
      </c>
      <c r="C132" s="56"/>
      <c r="D132" s="91">
        <f>D115*T132</f>
        <v>107.42108300000001</v>
      </c>
      <c r="E132" s="91">
        <f t="shared" ref="E132:Q132" si="95">E115*U132</f>
        <v>121.02265903452391</v>
      </c>
      <c r="F132" s="91">
        <f t="shared" si="95"/>
        <v>136.53519827342041</v>
      </c>
      <c r="G132" s="91">
        <f t="shared" si="95"/>
        <v>154.25176170637135</v>
      </c>
      <c r="H132" s="91">
        <f t="shared" si="95"/>
        <v>174.51392365105872</v>
      </c>
      <c r="I132" s="91">
        <f t="shared" si="95"/>
        <v>197.72036959271162</v>
      </c>
      <c r="J132" s="91">
        <f t="shared" si="95"/>
        <v>224.33711499742355</v>
      </c>
      <c r="K132" s="91">
        <f t="shared" si="95"/>
        <v>254.90966854594447</v>
      </c>
      <c r="L132" s="91">
        <f t="shared" si="95"/>
        <v>290.07753125590898</v>
      </c>
      <c r="M132" s="91">
        <f t="shared" si="95"/>
        <v>330.59150600518336</v>
      </c>
      <c r="N132" s="91">
        <f t="shared" si="95"/>
        <v>377.33439351153459</v>
      </c>
      <c r="O132" s="91">
        <f t="shared" si="95"/>
        <v>431.34577517760619</v>
      </c>
      <c r="P132" s="91">
        <f t="shared" si="95"/>
        <v>493.8517357389635</v>
      </c>
      <c r="Q132" s="91">
        <f t="shared" si="95"/>
        <v>566.30056603721255</v>
      </c>
      <c r="R132" s="78">
        <f>RATE(12,,-E132,Q132)</f>
        <v>0.13723013338519893</v>
      </c>
      <c r="S132" s="61" t="s">
        <v>28</v>
      </c>
      <c r="T132" s="12">
        <v>0.40099999999999997</v>
      </c>
      <c r="U132" s="12">
        <v>0.40265090533119946</v>
      </c>
      <c r="V132" s="12">
        <v>0.40430860739160734</v>
      </c>
      <c r="W132" s="12">
        <v>0.40597313416316017</v>
      </c>
      <c r="X132" s="12">
        <v>0.40764451374299493</v>
      </c>
      <c r="Y132" s="12">
        <v>0.40932277434392395</v>
      </c>
      <c r="Z132" s="12">
        <v>0.41100794429491083</v>
      </c>
      <c r="AA132" s="12">
        <v>0.4127000520415488</v>
      </c>
      <c r="AB132" s="12">
        <v>0.41439912614654062</v>
      </c>
      <c r="AC132" s="12">
        <v>0.41610519529018092</v>
      </c>
      <c r="AD132" s="12">
        <v>0.41781828827084017</v>
      </c>
      <c r="AE132" s="12">
        <v>0.4195384340054511</v>
      </c>
      <c r="AF132" s="12">
        <v>0.4212656615299965</v>
      </c>
      <c r="AG132" s="12">
        <v>0.42299999999999938</v>
      </c>
    </row>
    <row r="133" spans="1:33" x14ac:dyDescent="0.25">
      <c r="A133" s="114"/>
      <c r="B133" s="62" t="s">
        <v>29</v>
      </c>
      <c r="C133" s="47"/>
      <c r="D133" s="97">
        <f>D115*T133</f>
        <v>115.45757300000001</v>
      </c>
      <c r="E133" s="97">
        <f t="shared" ref="E133:Q133" si="96">E115*U133</f>
        <v>129.79477323553581</v>
      </c>
      <c r="F133" s="97">
        <f t="shared" si="96"/>
        <v>146.11431094304581</v>
      </c>
      <c r="G133" s="97">
        <f t="shared" si="96"/>
        <v>164.71603424292132</v>
      </c>
      <c r="H133" s="97">
        <f t="shared" si="96"/>
        <v>185.94882715272496</v>
      </c>
      <c r="I133" s="97">
        <f t="shared" si="96"/>
        <v>210.21920520222028</v>
      </c>
      <c r="J133" s="97">
        <f t="shared" si="96"/>
        <v>238.00151544887902</v>
      </c>
      <c r="K133" s="97">
        <f t="shared" si="96"/>
        <v>269.85005808862559</v>
      </c>
      <c r="L133" s="97">
        <f t="shared" si="96"/>
        <v>306.41351299214637</v>
      </c>
      <c r="M133" s="97">
        <f t="shared" si="96"/>
        <v>348.45213512255145</v>
      </c>
      <c r="N133" s="97">
        <f t="shared" si="96"/>
        <v>396.85828123118955</v>
      </c>
      <c r="O133" s="97">
        <f t="shared" si="96"/>
        <v>452.68095060809645</v>
      </c>
      <c r="P133" s="97">
        <f t="shared" si="96"/>
        <v>517.15517010181736</v>
      </c>
      <c r="Q133" s="97">
        <f t="shared" si="96"/>
        <v>591.73723448805788</v>
      </c>
      <c r="R133" s="83">
        <f>RATE(12,,-E133,Q133)</f>
        <v>0.13476511041318104</v>
      </c>
      <c r="S133" s="62" t="s">
        <v>29</v>
      </c>
      <c r="T133" s="12">
        <v>0.43099999999999999</v>
      </c>
      <c r="U133" s="12">
        <v>0.43183634674261745</v>
      </c>
      <c r="V133" s="12">
        <v>0.43267431639909548</v>
      </c>
      <c r="W133" s="12">
        <v>0.43351391211866536</v>
      </c>
      <c r="X133" s="12">
        <v>0.43435513705666956</v>
      </c>
      <c r="Y133" s="12">
        <v>0.43519799437457324</v>
      </c>
      <c r="Z133" s="12">
        <v>0.43604248723997657</v>
      </c>
      <c r="AA133" s="12">
        <v>0.43688861882662616</v>
      </c>
      <c r="AB133" s="12">
        <v>0.43773639231442729</v>
      </c>
      <c r="AC133" s="12">
        <v>0.43858581088945586</v>
      </c>
      <c r="AD133" s="12">
        <v>0.43943687774397006</v>
      </c>
      <c r="AE133" s="12">
        <v>0.44028959607642287</v>
      </c>
      <c r="AF133" s="12">
        <v>0.44114396909147369</v>
      </c>
      <c r="AG133" s="12">
        <v>0.44200000000000028</v>
      </c>
    </row>
    <row r="134" spans="1:33" ht="15.75" thickBot="1" x14ac:dyDescent="0.3">
      <c r="A134" s="115"/>
      <c r="B134" s="63" t="s">
        <v>30</v>
      </c>
      <c r="C134" s="51"/>
      <c r="D134" s="92">
        <f>D115*T134</f>
        <v>45.004344000000017</v>
      </c>
      <c r="E134" s="92">
        <f t="shared" ref="E134:Q134" si="97">E115*U134</f>
        <v>49.747293729940289</v>
      </c>
      <c r="F134" s="92">
        <f t="shared" si="97"/>
        <v>55.050939839703496</v>
      </c>
      <c r="G134" s="92">
        <f t="shared" si="97"/>
        <v>60.987794029175532</v>
      </c>
      <c r="H134" s="92">
        <f t="shared" si="97"/>
        <v>67.640456200452874</v>
      </c>
      <c r="I134" s="92">
        <f t="shared" si="97"/>
        <v>75.103104444268382</v>
      </c>
      <c r="J134" s="92">
        <f t="shared" si="97"/>
        <v>83.483215849823466</v>
      </c>
      <c r="K134" s="92">
        <f t="shared" si="97"/>
        <v>92.903555172531057</v>
      </c>
      <c r="L134" s="92">
        <f t="shared" si="97"/>
        <v>103.50447445226936</v>
      </c>
      <c r="M134" s="92">
        <f t="shared" si="97"/>
        <v>115.4465737195888</v>
      </c>
      <c r="N134" s="92">
        <f t="shared" si="97"/>
        <v>128.91378111192503</v>
      </c>
      <c r="O134" s="92">
        <f t="shared" si="97"/>
        <v>144.11692021932987</v>
      </c>
      <c r="P134" s="92">
        <f t="shared" si="97"/>
        <v>161.29784348376978</v>
      </c>
      <c r="Q134" s="92">
        <f t="shared" si="97"/>
        <v>180.73422320336644</v>
      </c>
      <c r="R134" s="79">
        <f>RATE(12,,-E134,Q134)</f>
        <v>0.11349749599436498</v>
      </c>
      <c r="S134" s="63" t="s">
        <v>30</v>
      </c>
      <c r="T134" s="12">
        <f>1-SUM(T132:T133)</f>
        <v>0.16800000000000004</v>
      </c>
      <c r="U134" s="12">
        <f t="shared" ref="U134:AG134" si="98">1-SUM(U132:U133)</f>
        <v>0.16551274792618309</v>
      </c>
      <c r="V134" s="12">
        <f t="shared" si="98"/>
        <v>0.16301707620929717</v>
      </c>
      <c r="W134" s="12">
        <f t="shared" si="98"/>
        <v>0.16051295371817442</v>
      </c>
      <c r="X134" s="12">
        <f t="shared" si="98"/>
        <v>0.15800034920033545</v>
      </c>
      <c r="Y134" s="12">
        <f t="shared" si="98"/>
        <v>0.15547923128150276</v>
      </c>
      <c r="Z134" s="12">
        <f t="shared" si="98"/>
        <v>0.15294956846511254</v>
      </c>
      <c r="AA134" s="12">
        <f t="shared" si="98"/>
        <v>0.15041132913182498</v>
      </c>
      <c r="AB134" s="12">
        <f t="shared" si="98"/>
        <v>0.14786448153903209</v>
      </c>
      <c r="AC134" s="12">
        <f t="shared" si="98"/>
        <v>0.14530899382036322</v>
      </c>
      <c r="AD134" s="12">
        <f t="shared" si="98"/>
        <v>0.14274483398518978</v>
      </c>
      <c r="AE134" s="12">
        <f t="shared" si="98"/>
        <v>0.14017196991812608</v>
      </c>
      <c r="AF134" s="12">
        <f t="shared" si="98"/>
        <v>0.13759036937852986</v>
      </c>
      <c r="AG134" s="12">
        <f t="shared" si="98"/>
        <v>0.13500000000000034</v>
      </c>
    </row>
  </sheetData>
  <mergeCells count="30">
    <mergeCell ref="A30:A32"/>
    <mergeCell ref="A2:R2"/>
    <mergeCell ref="A14:A15"/>
    <mergeCell ref="A17:A18"/>
    <mergeCell ref="A20:A21"/>
    <mergeCell ref="A23:A28"/>
    <mergeCell ref="A81:A83"/>
    <mergeCell ref="A35:R35"/>
    <mergeCell ref="A39:A40"/>
    <mergeCell ref="A42:A43"/>
    <mergeCell ref="A45:A46"/>
    <mergeCell ref="A48:A53"/>
    <mergeCell ref="A55:A57"/>
    <mergeCell ref="A61:R61"/>
    <mergeCell ref="A65:A66"/>
    <mergeCell ref="A68:A69"/>
    <mergeCell ref="A71:A72"/>
    <mergeCell ref="A74:A79"/>
    <mergeCell ref="A132:A134"/>
    <mergeCell ref="A86:R86"/>
    <mergeCell ref="A90:A91"/>
    <mergeCell ref="A93:A94"/>
    <mergeCell ref="A96:A97"/>
    <mergeCell ref="A99:A104"/>
    <mergeCell ref="A106:A108"/>
    <mergeCell ref="A112:R112"/>
    <mergeCell ref="A116:A117"/>
    <mergeCell ref="A119:A120"/>
    <mergeCell ref="A122:A123"/>
    <mergeCell ref="A125:A1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0-AA9F-45C5-B46A-02C4116FD4CA}">
  <dimension ref="A1"/>
  <sheetViews>
    <sheetView workbookViewId="0">
      <selection activeCell="A14" sqref="A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Market Analysis</vt:lpstr>
      <vt:lpstr>North America</vt:lpstr>
      <vt:lpstr>Global-</vt:lpstr>
      <vt:lpstr>Europe</vt:lpstr>
      <vt:lpstr>APAC</vt:lpstr>
      <vt:lpstr>MEA</vt:lpstr>
      <vt:lpstr>Latin America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-PC</dc:creator>
  <cp:lastModifiedBy>A K</cp:lastModifiedBy>
  <cp:lastPrinted>2021-05-13T14:27:55Z</cp:lastPrinted>
  <dcterms:created xsi:type="dcterms:W3CDTF">2019-11-13T10:22:52Z</dcterms:created>
  <dcterms:modified xsi:type="dcterms:W3CDTF">2026-06-20T15:33:13Z</dcterms:modified>
</cp:coreProperties>
</file>